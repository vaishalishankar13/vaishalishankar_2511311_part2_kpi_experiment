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part2_kpi_assignment\"/>
    </mc:Choice>
  </mc:AlternateContent>
  <bookViews>
    <workbookView xWindow="0" yWindow="0" windowWidth="15360" windowHeight="7050" activeTab="1"/>
  </bookViews>
  <sheets>
    <sheet name="experiment summary" sheetId="3" r:id="rId1"/>
    <sheet name="pivot table for summary" sheetId="2" r:id="rId2"/>
    <sheet name="reference data" sheetId="1" r:id="rId3"/>
    <sheet name="hypothesis_test" sheetId="4" r:id="rId4"/>
  </sheets>
  <calcPr calcId="162913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2" l="1"/>
  <c r="L21" i="2"/>
  <c r="C22" i="2"/>
  <c r="B22" i="2"/>
</calcChain>
</file>

<file path=xl/sharedStrings.xml><?xml version="1.0" encoding="utf-8"?>
<sst xmlns="http://schemas.openxmlformats.org/spreadsheetml/2006/main" count="8584" uniqueCount="1489">
  <si>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</si>
  <si>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</si>
  <si>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</si>
  <si>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</si>
  <si>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</si>
  <si>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</si>
  <si>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</si>
  <si>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</si>
  <si>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</si>
  <si>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</si>
  <si>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</si>
  <si>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</si>
  <si>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</si>
  <si>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</si>
  <si>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</si>
  <si>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</si>
  <si>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</si>
  <si>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</si>
  <si>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</si>
  <si>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</si>
  <si>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</si>
  <si>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</si>
  <si>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</si>
  <si>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</si>
  <si>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</si>
  <si>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</si>
  <si>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</si>
  <si>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</si>
  <si>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</si>
  <si>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</si>
  <si>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</si>
  <si>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</si>
  <si>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</si>
  <si>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</si>
  <si>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</si>
  <si>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</si>
  <si>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</si>
  <si>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</si>
  <si>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</si>
  <si>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</si>
  <si>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</si>
  <si>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</si>
  <si>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</si>
  <si>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</si>
  <si>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</si>
  <si>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</si>
  <si>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</si>
  <si>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</si>
  <si>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</si>
  <si>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</si>
  <si>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</si>
  <si>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</si>
  <si>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</si>
  <si>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</si>
  <si>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</si>
  <si>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</si>
  <si>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</si>
  <si>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</si>
  <si>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</si>
  <si>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</si>
  <si>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</si>
  <si>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</si>
  <si>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</si>
  <si>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</si>
  <si>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</si>
  <si>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</si>
  <si>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</si>
  <si>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</si>
  <si>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</si>
  <si>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</si>
  <si>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</si>
  <si>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</si>
  <si>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</si>
  <si>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</si>
  <si>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</si>
  <si>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</si>
  <si>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</si>
  <si>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</si>
  <si>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</si>
  <si>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</si>
  <si>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</si>
  <si>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</si>
  <si>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</si>
  <si>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</si>
  <si>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</si>
  <si>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</si>
  <si>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</si>
  <si>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</si>
  <si>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</si>
  <si>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</si>
  <si>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</si>
  <si>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</si>
  <si>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</si>
  <si>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</si>
  <si>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</si>
  <si>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</si>
  <si>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</si>
  <si>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</si>
  <si>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</si>
  <si>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</si>
  <si>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</si>
  <si>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</si>
  <si>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</si>
  <si>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</si>
  <si>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</si>
  <si>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</si>
  <si>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</si>
  <si>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</si>
  <si>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</si>
  <si>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</si>
  <si>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</si>
  <si>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</si>
  <si>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</si>
  <si>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</si>
  <si>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</si>
  <si>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</si>
  <si>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</si>
  <si>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</si>
  <si>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</si>
  <si>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</si>
  <si>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</si>
  <si>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</si>
  <si>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</si>
  <si>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</si>
  <si>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</si>
  <si>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</si>
  <si>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</si>
  <si>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</si>
  <si>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</si>
  <si>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</si>
  <si>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</si>
  <si>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</si>
  <si>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</si>
  <si>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</si>
  <si>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</si>
  <si>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</si>
  <si>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</si>
  <si>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</si>
  <si>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</si>
  <si>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</si>
  <si>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</si>
  <si>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</si>
  <si>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</si>
  <si>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</si>
  <si>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</si>
  <si>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</si>
  <si>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</si>
  <si>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</si>
  <si>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</si>
  <si>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</si>
  <si>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</si>
  <si>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</si>
  <si>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</si>
  <si>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</si>
  <si>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</si>
  <si>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</si>
  <si>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Unknown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</si>
  <si>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</si>
  <si>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</si>
  <si>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</si>
  <si>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</si>
  <si>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</si>
  <si>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</si>
  <si>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</si>
  <si>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</si>
  <si>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</si>
  <si>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</si>
  <si>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</si>
  <si>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</si>
  <si>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</si>
  <si>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</si>
  <si>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</si>
  <si>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</si>
  <si>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</si>
  <si>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</si>
  <si>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</si>
  <si>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</si>
  <si>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</si>
  <si>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</si>
  <si>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</si>
  <si>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</si>
  <si>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</si>
  <si>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</si>
  <si>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</si>
  <si>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</si>
  <si>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</si>
  <si>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</si>
  <si>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</si>
  <si>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</si>
  <si>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</si>
  <si>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</si>
  <si>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</si>
  <si>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</si>
  <si>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</si>
  <si>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</si>
  <si>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</si>
  <si>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</si>
  <si>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</si>
  <si>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</si>
  <si>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</si>
  <si>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</si>
  <si>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</si>
  <si>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</si>
  <si>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</si>
  <si>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</si>
  <si>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</si>
  <si>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</si>
  <si>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</si>
  <si>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</si>
  <si>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</si>
  <si>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</si>
  <si>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</si>
  <si>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</si>
  <si>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</si>
  <si>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</si>
  <si>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</si>
  <si>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</si>
  <si>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</si>
  <si>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</si>
  <si>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</si>
  <si>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</si>
  <si>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</si>
  <si>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</si>
  <si>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</si>
  <si>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</si>
  <si>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</si>
  <si>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</si>
  <si>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</si>
  <si>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</si>
  <si>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</si>
  <si>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</si>
  <si>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</si>
  <si>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</si>
  <si>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</si>
  <si>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</si>
  <si>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</si>
  <si>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</si>
  <si>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</si>
  <si>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</si>
  <si>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</si>
  <si>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</si>
  <si>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</si>
  <si>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</si>
  <si>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</si>
  <si>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</si>
  <si>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</si>
  <si>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</si>
  <si>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</si>
  <si>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</si>
  <si>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</si>
  <si>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</si>
  <si>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</si>
  <si>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</si>
  <si>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</si>
  <si>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</si>
  <si>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</si>
  <si>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</si>
  <si>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</si>
  <si>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</si>
  <si>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</si>
  <si>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</si>
  <si>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</si>
  <si>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</si>
  <si>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</si>
  <si>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</si>
  <si>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</si>
  <si>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</si>
  <si>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</si>
  <si>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</si>
  <si>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</si>
  <si>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</si>
  <si>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</si>
  <si>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</si>
  <si>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</si>
  <si>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</si>
  <si>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</si>
  <si>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</si>
  <si>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</si>
  <si>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</si>
  <si>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</si>
  <si>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</si>
  <si>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</si>
  <si>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</si>
  <si>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</si>
  <si>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</si>
  <si>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</si>
  <si>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</si>
  <si>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</si>
  <si>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</si>
  <si>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</si>
  <si>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</si>
  <si>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</si>
  <si>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</si>
  <si>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</si>
  <si>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</si>
  <si>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</si>
  <si>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</si>
  <si>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</si>
  <si>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</si>
  <si>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</si>
  <si>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</si>
  <si>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</si>
  <si>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</si>
  <si>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</si>
  <si>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</si>
  <si>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</si>
  <si>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</si>
  <si>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</si>
  <si>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</si>
  <si>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</si>
  <si>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</si>
  <si>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</si>
  <si>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</si>
  <si>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</si>
  <si>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</si>
  <si>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</si>
  <si>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</si>
  <si>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</si>
  <si>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</si>
  <si>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</si>
  <si>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</si>
  <si>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</si>
  <si>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</si>
  <si>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</si>
  <si>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</si>
  <si>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</si>
  <si>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</si>
  <si>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</si>
  <si>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</si>
  <si>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</si>
  <si>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</si>
  <si>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</si>
  <si>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</si>
  <si>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</si>
  <si>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</si>
  <si>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</si>
  <si>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</si>
  <si>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</si>
  <si>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</si>
  <si>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</si>
  <si>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</si>
  <si>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</si>
  <si>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</si>
  <si>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</si>
  <si>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</si>
  <si>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</si>
  <si>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</si>
  <si>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</si>
  <si>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</si>
  <si>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</si>
  <si>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</si>
  <si>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</si>
  <si>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</si>
  <si>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</si>
  <si>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</si>
  <si>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</si>
  <si>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</si>
  <si>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</si>
  <si>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</si>
  <si>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</si>
  <si>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</si>
  <si>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</si>
  <si>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</si>
  <si>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</si>
  <si>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</si>
  <si>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</si>
  <si>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</si>
  <si>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</si>
  <si>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</si>
  <si>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</si>
  <si>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</si>
  <si>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</si>
  <si>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</si>
  <si>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</si>
  <si>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</si>
  <si>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</si>
  <si>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</si>
  <si>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</si>
  <si>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</si>
  <si>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</si>
  <si>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</si>
  <si>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</si>
  <si>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</si>
  <si>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</si>
  <si>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</si>
  <si>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</si>
  <si>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</si>
  <si>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</si>
  <si>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</si>
  <si>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</si>
  <si>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</si>
  <si>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</si>
  <si>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</si>
  <si>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</si>
  <si>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</si>
  <si>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</si>
  <si>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</si>
  <si>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</si>
  <si>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</si>
  <si>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</si>
  <si>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</si>
  <si>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</si>
  <si>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</si>
  <si>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</si>
  <si>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</si>
  <si>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</si>
  <si>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</si>
  <si>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</si>
  <si>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</si>
  <si>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</si>
  <si>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</si>
  <si>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</si>
  <si>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</si>
  <si>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</si>
  <si>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</si>
  <si>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</si>
  <si>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</si>
  <si>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</si>
  <si>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</si>
  <si>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</si>
  <si>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</si>
  <si>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</si>
  <si>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</si>
  <si>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</si>
  <si>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</si>
  <si>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</si>
  <si>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</si>
  <si>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</si>
  <si>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</si>
  <si>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</si>
  <si>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</si>
  <si>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</si>
  <si>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</si>
  <si>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</si>
  <si>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</si>
  <si>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</si>
  <si>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</si>
  <si>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</si>
  <si>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</si>
  <si>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</si>
  <si>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</si>
  <si>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</si>
  <si>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</si>
  <si>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</si>
  <si>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</si>
  <si>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</si>
  <si>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</si>
  <si>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</si>
  <si>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</si>
  <si>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</si>
  <si>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</si>
  <si>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</si>
  <si>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</si>
  <si>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</si>
  <si>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</si>
  <si>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</si>
  <si>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</si>
  <si>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</si>
  <si>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</si>
  <si>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</si>
  <si>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</si>
  <si>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</si>
  <si>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</si>
  <si>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</si>
  <si>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</si>
  <si>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</si>
  <si>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</si>
  <si>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</si>
  <si>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</si>
  <si>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</si>
  <si>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</si>
  <si>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</si>
  <si>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</si>
  <si>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</si>
  <si>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</si>
  <si>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</si>
  <si>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</si>
  <si>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</si>
  <si>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</si>
  <si>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</si>
  <si>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</si>
  <si>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</si>
  <si>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</si>
  <si>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</si>
  <si>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</si>
  <si>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</si>
  <si>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</si>
  <si>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</si>
  <si>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</si>
  <si>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</si>
  <si>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</si>
  <si>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</si>
  <si>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</si>
  <si>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</si>
  <si>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</si>
  <si>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</si>
  <si>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</si>
  <si>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</si>
  <si>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</si>
  <si>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</si>
  <si>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</si>
  <si>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</si>
  <si>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</si>
  <si>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</si>
  <si>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</si>
  <si>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</si>
  <si>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</si>
  <si>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</si>
  <si>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</si>
  <si>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</si>
  <si>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</si>
  <si>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</si>
  <si>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</si>
  <si>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</si>
  <si>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</si>
  <si>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</si>
  <si>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</si>
  <si>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</si>
  <si>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</si>
  <si>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</si>
  <si>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</si>
  <si>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</si>
  <si>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</si>
  <si>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</si>
  <si>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</si>
  <si>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</si>
  <si>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</si>
  <si>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</si>
  <si>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</si>
  <si>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</si>
  <si>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</si>
  <si>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</si>
  <si>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</si>
  <si>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</si>
  <si>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</si>
  <si>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</si>
  <si>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</si>
  <si>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</si>
  <si>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</si>
  <si>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</si>
  <si>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</si>
  <si>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</si>
  <si>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</si>
  <si>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</si>
  <si>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</si>
  <si>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</si>
  <si>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</si>
  <si>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</si>
  <si>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</si>
  <si>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</si>
  <si>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</si>
  <si>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</si>
  <si>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</si>
  <si>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</si>
  <si>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</si>
  <si>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</si>
  <si>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</si>
  <si>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</si>
  <si>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</si>
  <si>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</si>
  <si>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</si>
  <si>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</si>
  <si>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</si>
  <si>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</si>
  <si>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</si>
  <si>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</si>
  <si>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</si>
  <si>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</si>
  <si>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</si>
  <si>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</si>
  <si>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</si>
  <si>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</si>
  <si>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</si>
  <si>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</si>
  <si>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</si>
  <si>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</si>
  <si>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</si>
  <si>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</si>
  <si>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</si>
  <si>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</si>
  <si>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</si>
  <si>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</si>
  <si>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</si>
  <si>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</si>
  <si>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</si>
  <si>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</si>
  <si>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</si>
  <si>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</si>
  <si>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</si>
  <si>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</si>
  <si>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</si>
  <si>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</si>
  <si>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</si>
  <si>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</si>
  <si>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</si>
  <si>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</si>
  <si>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</si>
  <si>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</si>
  <si>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</si>
  <si>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</si>
  <si>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</si>
  <si>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</si>
  <si>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</si>
  <si>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</si>
  <si>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</si>
  <si>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</si>
  <si>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</si>
  <si>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</si>
  <si>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</si>
  <si>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</si>
  <si>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</si>
  <si>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</si>
  <si>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</si>
  <si>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</si>
  <si>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</si>
  <si>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</si>
  <si>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</si>
  <si>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</si>
  <si>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</si>
  <si>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</si>
  <si>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</si>
  <si>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</si>
  <si>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</si>
  <si>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</si>
  <si>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</si>
  <si>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</si>
  <si>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</si>
  <si>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</si>
  <si>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</si>
  <si>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</si>
  <si>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</si>
  <si>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</si>
  <si>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</si>
  <si>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</si>
  <si>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</si>
  <si>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</si>
  <si>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</si>
  <si>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</si>
  <si>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</si>
  <si>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</si>
  <si>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</si>
  <si>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</si>
  <si>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</si>
  <si>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</si>
  <si>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</si>
  <si>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</si>
  <si>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</si>
  <si>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</si>
  <si>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</si>
  <si>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</si>
  <si>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</si>
  <si>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</si>
  <si>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</si>
  <si>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</si>
  <si>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</si>
  <si>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</si>
  <si>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</si>
  <si>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</si>
  <si>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</si>
  <si>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</si>
  <si>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</si>
  <si>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</si>
  <si>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</si>
  <si>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</si>
  <si>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</si>
  <si>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</si>
  <si>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</si>
  <si>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</si>
  <si>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</si>
  <si>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</si>
  <si>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</si>
  <si>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</si>
  <si>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</si>
  <si>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</si>
  <si>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</si>
  <si>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</si>
  <si>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</si>
  <si>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</si>
  <si>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</si>
  <si>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</si>
  <si>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</si>
  <si>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</si>
  <si>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</si>
  <si>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</si>
  <si>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</si>
  <si>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</si>
  <si>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</si>
  <si>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</si>
  <si>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</si>
  <si>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</si>
  <si>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</si>
  <si>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</si>
  <si>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</si>
  <si>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</si>
  <si>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</si>
  <si>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</si>
  <si>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</si>
  <si>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</si>
  <si>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</si>
  <si>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</si>
  <si>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</si>
  <si>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</si>
  <si>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</si>
  <si>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</si>
  <si>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</si>
  <si>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</si>
  <si>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</si>
  <si>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</si>
  <si>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</si>
  <si>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</si>
  <si>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</si>
  <si>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</si>
  <si>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</si>
  <si>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</si>
  <si>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</si>
  <si>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</si>
  <si>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</si>
  <si>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</si>
  <si>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</si>
  <si>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</si>
  <si>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</si>
  <si>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</si>
  <si>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</si>
  <si>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</si>
  <si>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</si>
  <si>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</si>
  <si>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</si>
  <si>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</si>
  <si>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</si>
  <si>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</si>
  <si>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</si>
  <si>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</si>
  <si>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</si>
  <si>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</si>
  <si>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</si>
  <si>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</si>
  <si>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</si>
  <si>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</si>
  <si>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</si>
  <si>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</si>
  <si>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</si>
  <si>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</si>
  <si>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</si>
  <si>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</si>
  <si>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</si>
  <si>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</si>
  <si>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</si>
  <si>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</si>
  <si>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</si>
  <si>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</si>
  <si>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</si>
  <si>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</si>
  <si>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</si>
  <si>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</si>
  <si>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</si>
  <si>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</si>
  <si>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</si>
  <si>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</si>
  <si>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</si>
  <si>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</si>
  <si>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</si>
  <si>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</si>
  <si>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</si>
  <si>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</si>
  <si>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</si>
  <si>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</si>
  <si>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</si>
  <si>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</si>
  <si>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</si>
  <si>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</si>
  <si>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</si>
  <si>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</si>
  <si>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</si>
  <si>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</si>
  <si>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</si>
  <si>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</si>
  <si>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</si>
  <si>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</si>
  <si>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</si>
  <si>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</si>
  <si>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</si>
  <si>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</si>
  <si>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</si>
  <si>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</si>
  <si>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</si>
  <si>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</si>
  <si>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</si>
  <si>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</si>
  <si>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</si>
  <si>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</si>
  <si>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</si>
  <si>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</si>
  <si>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</si>
  <si>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</si>
  <si>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</si>
  <si>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</si>
  <si>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</si>
  <si>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</si>
  <si>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</si>
  <si>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</si>
  <si>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</si>
  <si>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</si>
  <si>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</si>
  <si>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</si>
  <si>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</si>
  <si>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</si>
  <si>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</si>
  <si>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</si>
  <si>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</si>
  <si>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</si>
  <si>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</si>
  <si>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</si>
  <si>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</si>
  <si>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</si>
  <si>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</si>
  <si>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</si>
  <si>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</si>
  <si>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</si>
  <si>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</si>
  <si>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</si>
  <si>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</si>
  <si>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</si>
  <si>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</si>
  <si>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</si>
  <si>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</si>
  <si>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</si>
  <si>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</si>
  <si>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</si>
  <si>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</si>
  <si>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</si>
  <si>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</si>
  <si>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</si>
  <si>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</si>
  <si>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</si>
  <si>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</si>
  <si>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</si>
  <si>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</si>
  <si>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</si>
  <si>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</si>
  <si>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</si>
  <si>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</si>
  <si>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</si>
  <si>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</si>
  <si>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</si>
  <si>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</si>
  <si>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</si>
  <si>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</si>
  <si>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</si>
  <si>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</si>
  <si>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</si>
  <si>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</si>
  <si>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</si>
  <si>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</si>
  <si>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</si>
  <si>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</si>
  <si>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</si>
  <si>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</si>
  <si>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</si>
  <si>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</si>
  <si>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</si>
  <si>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</si>
  <si>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</si>
  <si>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</si>
  <si>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</si>
  <si>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</si>
  <si>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</si>
  <si>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</si>
  <si>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</si>
  <si>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</si>
  <si>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</si>
  <si>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</si>
  <si>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</si>
  <si>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</si>
  <si>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</si>
  <si>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</si>
  <si>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</si>
  <si>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</si>
  <si>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</si>
  <si>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</si>
  <si>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</si>
  <si>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</si>
  <si>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</si>
  <si>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</si>
  <si>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</si>
  <si>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</si>
  <si>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</si>
  <si>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</si>
  <si>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</si>
  <si>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</si>
  <si>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</si>
  <si>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</si>
  <si>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</si>
  <si>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</si>
  <si>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</si>
  <si>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</si>
  <si>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</si>
  <si>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</si>
  <si>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</si>
  <si>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</si>
  <si>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</si>
  <si>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</si>
  <si>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</si>
  <si>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</si>
  <si>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</si>
  <si>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</si>
  <si>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</si>
  <si>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</si>
  <si>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</si>
  <si>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</si>
  <si>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</si>
  <si>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</si>
  <si>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</si>
  <si>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</si>
  <si>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</si>
  <si>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</si>
  <si>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</si>
  <si>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</si>
  <si>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</si>
  <si>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</si>
  <si>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</si>
  <si>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</si>
  <si>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</si>
  <si>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</si>
  <si>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</si>
  <si>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</si>
  <si>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</si>
  <si>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</si>
  <si>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</si>
  <si>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</si>
  <si>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</si>
  <si>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</si>
  <si>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</si>
  <si>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</si>
  <si>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</si>
  <si>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</si>
  <si>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</si>
  <si>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</si>
  <si>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</si>
  <si>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</si>
  <si>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</si>
  <si>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</si>
  <si>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</si>
  <si>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</si>
  <si>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</si>
  <si>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</si>
  <si>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</si>
  <si>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</si>
  <si>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</si>
  <si>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</si>
  <si>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</si>
  <si>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</si>
  <si>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</si>
  <si>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</si>
  <si>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</si>
  <si>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</si>
  <si>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</si>
  <si>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</si>
  <si>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</si>
  <si>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</si>
  <si>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</si>
  <si>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</si>
  <si>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</si>
  <si>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</si>
  <si>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</si>
  <si>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</si>
  <si>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</si>
  <si>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</si>
  <si>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</si>
  <si>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</si>
  <si>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</si>
  <si>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</si>
  <si>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</si>
  <si>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</si>
  <si>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</si>
  <si>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</si>
  <si>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</si>
  <si>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</si>
  <si>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</si>
  <si>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</si>
  <si>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</si>
  <si>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</si>
  <si>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</si>
  <si>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</si>
  <si>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</si>
  <si>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</si>
  <si>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</si>
  <si>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</si>
  <si>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</si>
  <si>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</si>
  <si>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</si>
  <si>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</si>
  <si>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</si>
  <si>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</si>
  <si>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</si>
  <si>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</si>
  <si>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</si>
  <si>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</si>
  <si>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</si>
  <si>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</si>
  <si>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</si>
  <si>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</si>
  <si>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</si>
  <si>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</si>
  <si>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</si>
  <si>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</si>
  <si>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</si>
  <si>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</si>
  <si>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</si>
  <si>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</si>
  <si>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</si>
  <si>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</si>
  <si>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</si>
  <si>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</si>
  <si>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</si>
  <si>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</si>
  <si>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</si>
  <si>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</si>
  <si>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</si>
  <si>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</si>
  <si>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</si>
  <si>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</si>
  <si>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</si>
  <si>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</si>
  <si>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</si>
  <si>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</si>
  <si>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</si>
  <si>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</si>
  <si>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</si>
  <si>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</si>
  <si>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</si>
  <si>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</si>
  <si>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</si>
  <si>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</si>
  <si>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</si>
  <si>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</si>
  <si>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</si>
  <si>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</si>
  <si>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</si>
  <si>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</si>
  <si>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</si>
  <si>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</si>
  <si>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</si>
  <si>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</si>
  <si>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</si>
  <si>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</si>
  <si>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</si>
  <si>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</si>
  <si>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</si>
  <si>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</si>
  <si>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</si>
  <si>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</si>
  <si>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</si>
  <si>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</si>
  <si>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</si>
  <si>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</si>
  <si>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</si>
  <si>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</si>
  <si>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</si>
  <si>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</si>
  <si>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</si>
  <si>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</si>
  <si>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</si>
  <si>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</si>
  <si>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</si>
  <si>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</si>
  <si>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</si>
  <si>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</si>
  <si>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</si>
  <si>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</si>
  <si>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</si>
  <si>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</si>
  <si>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</si>
  <si>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</si>
  <si>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</si>
  <si>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</si>
  <si>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</si>
  <si>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</si>
  <si>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</si>
  <si>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</si>
  <si>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</si>
  <si>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</si>
  <si>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</si>
  <si>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</si>
  <si>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</si>
  <si>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</si>
  <si>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</si>
  <si>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</si>
  <si>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</si>
  <si>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</si>
  <si>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</si>
  <si>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</si>
  <si>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</si>
  <si>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</si>
  <si>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</si>
  <si>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</si>
  <si>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</si>
  <si>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</si>
  <si>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</si>
  <si>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</si>
  <si>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</si>
  <si>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</si>
  <si>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</si>
  <si>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</si>
  <si>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</si>
  <si>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</si>
  <si>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</si>
  <si>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</si>
  <si>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</si>
  <si>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</si>
  <si>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</si>
  <si>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</si>
  <si>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</si>
  <si>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</si>
  <si>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</si>
  <si>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</si>
  <si>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</si>
  <si>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</si>
  <si>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</si>
  <si>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</si>
  <si>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</si>
  <si>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</si>
  <si>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</si>
  <si>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</si>
  <si>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</si>
  <si>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</si>
  <si>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</si>
  <si>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</si>
  <si>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</si>
  <si>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</si>
  <si>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</si>
  <si>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</si>
  <si>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</si>
  <si>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</si>
  <si>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</si>
  <si>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</si>
  <si>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</si>
  <si>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</si>
  <si>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</si>
  <si>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</si>
  <si>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</si>
  <si>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</si>
  <si>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</si>
  <si>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</si>
  <si>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</si>
  <si>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</si>
  <si>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</si>
  <si>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</si>
  <si>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</si>
  <si>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</si>
  <si>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</si>
  <si>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</si>
  <si>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</si>
  <si>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</si>
  <si>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</si>
  <si>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</si>
  <si>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</si>
  <si>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</si>
  <si>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</si>
  <si>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</si>
  <si>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</si>
  <si>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</si>
  <si>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</si>
  <si>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</si>
  <si>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</si>
  <si>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</si>
  <si>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</si>
  <si>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</si>
  <si>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</si>
  <si>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</si>
  <si>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</si>
  <si>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</si>
  <si>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</si>
  <si>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</si>
  <si>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</si>
  <si>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</si>
  <si>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</si>
  <si>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</si>
  <si>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</si>
  <si>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</si>
  <si>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</si>
  <si>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</si>
  <si>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</si>
  <si>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</si>
  <si>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</si>
  <si>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</si>
  <si>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</si>
  <si>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</si>
  <si>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</si>
  <si>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</si>
  <si>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</si>
  <si>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</si>
  <si>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</si>
  <si>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</si>
  <si>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</si>
  <si>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</si>
  <si>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</si>
  <si>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</si>
  <si>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</si>
  <si>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</si>
  <si>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</si>
  <si>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</si>
  <si>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</si>
  <si>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</si>
  <si>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</si>
  <si>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</si>
  <si>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</si>
  <si>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</si>
  <si>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</si>
  <si>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</si>
  <si>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</si>
  <si>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</si>
  <si>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</si>
  <si>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</si>
  <si>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</si>
  <si>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</si>
  <si>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</si>
  <si>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</si>
  <si>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</si>
  <si>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</si>
  <si>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</si>
  <si>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</si>
  <si>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</si>
  <si>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</si>
  <si>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</si>
  <si>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</si>
  <si>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</si>
  <si>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</si>
  <si>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</si>
  <si>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</si>
  <si>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</si>
  <si>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</si>
  <si>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</si>
  <si>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</si>
  <si>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</si>
  <si>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</si>
  <si>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</si>
  <si>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</si>
  <si>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</si>
  <si>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</si>
  <si>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</si>
  <si>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</si>
  <si>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</si>
  <si>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</si>
  <si>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</si>
  <si>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</si>
  <si>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</si>
  <si>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</si>
  <si>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</si>
  <si>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</si>
  <si>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</si>
  <si>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</si>
  <si>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</si>
  <si>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</si>
  <si>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</si>
  <si>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</si>
  <si>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</si>
  <si>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</si>
  <si>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</si>
  <si>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</si>
  <si>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</si>
  <si>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</si>
  <si>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</si>
  <si>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</si>
  <si>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</si>
  <si>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</si>
  <si>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</si>
  <si>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</si>
  <si>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</si>
  <si>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</si>
  <si>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</si>
  <si>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</si>
  <si>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</si>
  <si>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</si>
  <si>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</si>
  <si>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</si>
  <si>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</si>
  <si>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</si>
  <si>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</si>
  <si>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</si>
  <si>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</si>
  <si>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</si>
  <si>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</si>
  <si>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</si>
  <si>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</si>
  <si>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</si>
  <si>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</si>
  <si>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</si>
  <si>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</si>
  <si>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</si>
  <si>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</si>
  <si>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</si>
  <si>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</si>
  <si>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</si>
  <si>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</si>
  <si>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</si>
  <si>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</si>
  <si>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</si>
  <si>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</si>
  <si>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</si>
  <si>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</si>
  <si>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</si>
  <si>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</si>
  <si>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</si>
  <si>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</si>
  <si>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</si>
  <si>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</si>
  <si>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</si>
  <si>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</si>
  <si>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</si>
  <si>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</si>
  <si>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</si>
  <si>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</si>
  <si>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</si>
  <si>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</si>
  <si>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</si>
  <si>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</si>
  <si>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</si>
  <si>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</si>
  <si>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</si>
  <si>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</si>
  <si>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</si>
  <si>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</si>
  <si>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</si>
  <si>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</si>
  <si>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</si>
  <si>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</si>
  <si>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</si>
  <si>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</si>
  <si>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</si>
  <si>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</si>
  <si>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</si>
  <si>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</si>
  <si>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</si>
  <si>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</si>
  <si>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</si>
  <si>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</si>
  <si>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</si>
  <si>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</si>
  <si>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</si>
  <si>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</si>
  <si>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</si>
  <si>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</si>
  <si>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</si>
  <si>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</si>
  <si>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</si>
  <si>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</si>
  <si>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</si>
  <si>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</si>
  <si>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</si>
  <si>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</si>
  <si>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</si>
  <si>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</si>
  <si>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</si>
  <si>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</si>
  <si>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</si>
  <si>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</si>
  <si>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</si>
  <si>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</si>
  <si>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</si>
  <si>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</si>
  <si>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</si>
  <si>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</si>
  <si>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</si>
  <si>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</si>
  <si>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</si>
  <si>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</si>
  <si>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</si>
  <si>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</si>
  <si>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</si>
  <si>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</si>
  <si>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</si>
  <si>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</si>
  <si>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</si>
  <si>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</si>
  <si>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</si>
  <si>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</si>
  <si>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</si>
  <si>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</si>
  <si>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</si>
  <si>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</si>
  <si>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</si>
  <si>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</si>
  <si>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</si>
  <si>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</si>
  <si>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</si>
  <si>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</si>
  <si>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</si>
  <si>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</si>
  <si>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</si>
  <si>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</si>
  <si>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</si>
  <si>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</si>
  <si>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</si>
  <si>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</si>
  <si>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</si>
  <si>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</si>
  <si>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</si>
  <si>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</si>
  <si>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</si>
  <si>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</si>
  <si>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</si>
  <si>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</si>
  <si>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</si>
  <si>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</si>
  <si>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</si>
  <si>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</si>
  <si>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</si>
  <si>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</si>
  <si>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</si>
  <si>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</si>
  <si>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</si>
  <si>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</si>
  <si>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</si>
  <si>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</si>
  <si>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</si>
  <si>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</si>
  <si>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</si>
  <si>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</si>
  <si>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</si>
  <si>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</si>
  <si>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</si>
  <si>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</si>
  <si>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</si>
  <si>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</si>
  <si>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</si>
  <si>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</si>
  <si>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</si>
  <si>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</si>
  <si>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</si>
  <si>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</si>
  <si>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</si>
  <si>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</si>
  <si>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</si>
  <si>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</si>
  <si>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Row Labels</t>
  </si>
  <si>
    <t>Grand Total</t>
  </si>
  <si>
    <t>Count of user_id</t>
  </si>
  <si>
    <t>metrics</t>
  </si>
  <si>
    <t>Landing page visit rate</t>
  </si>
  <si>
    <t>Column Labels</t>
  </si>
  <si>
    <t>user count</t>
  </si>
  <si>
    <t>Landing Page Visit Rate</t>
  </si>
  <si>
    <t>control</t>
  </si>
  <si>
    <t>Trial start rate</t>
  </si>
  <si>
    <t>Onboarding Completion Rate</t>
  </si>
  <si>
    <t>Paid conversion rate</t>
  </si>
  <si>
    <t>Average revenue per user</t>
  </si>
  <si>
    <t>Sum of revenue_30d</t>
  </si>
  <si>
    <t>Average revenue per converted user</t>
  </si>
  <si>
    <t>Trail start rate</t>
  </si>
  <si>
    <t>onboarding completion rate</t>
  </si>
  <si>
    <t>paid conversion rate</t>
  </si>
  <si>
    <t>Average of revenue_30d</t>
  </si>
  <si>
    <t>Refund rate</t>
  </si>
  <si>
    <t>average revenue per converted users</t>
  </si>
  <si>
    <t>Support ticket rate</t>
  </si>
  <si>
    <t>Average engagement score</t>
  </si>
  <si>
    <t>Average days to convert</t>
  </si>
  <si>
    <t>return rate</t>
  </si>
  <si>
    <t>(Multiple Items)</t>
  </si>
  <si>
    <t>Average of engagement_score</t>
  </si>
  <si>
    <t>Average of days_to_convert</t>
  </si>
  <si>
    <t>Average of converted_to_paid</t>
  </si>
  <si>
    <t>sumarising paid conversion rate by region</t>
  </si>
  <si>
    <t>Average of started_trial</t>
  </si>
  <si>
    <t>plan type</t>
  </si>
  <si>
    <t>Average engagement across different traffic source</t>
  </si>
  <si>
    <t>traffic source</t>
  </si>
  <si>
    <t>trial start rate across different play type</t>
  </si>
  <si>
    <t>Item</t>
  </si>
  <si>
    <t>Value</t>
  </si>
  <si>
    <t>Control Conversion</t>
  </si>
  <si>
    <t>Treatment Conversion</t>
  </si>
  <si>
    <t>Pooled Rate</t>
  </si>
  <si>
    <t>(x1+x2)/(n1+n2)</t>
  </si>
  <si>
    <t>standard error</t>
  </si>
  <si>
    <t>z-statistics</t>
  </si>
  <si>
    <t>(p2-p1)/SE</t>
  </si>
  <si>
    <t>p-value</t>
  </si>
  <si>
    <t>1-NORM.S.DIST(Z,TRUE)</t>
  </si>
  <si>
    <t>0.0319(p1)</t>
  </si>
  <si>
    <t>0.0704(p2)</t>
  </si>
  <si>
    <t>SQRT(pooled*(1-pooled)*(1/n1+1/n2))</t>
  </si>
  <si>
    <t>One-tailed Two-Proportion Z-Test</t>
  </si>
  <si>
    <t>since 0.00055 &lt; 0.05</t>
  </si>
  <si>
    <t>Reject null hypothesis</t>
  </si>
  <si>
    <t>Interpretation</t>
  </si>
  <si>
    <t>The treatment significantly improves paid conversion rate.</t>
  </si>
  <si>
    <t>User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</si>
</sst>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2"/>
      <color rgb="FF24292F"/>
      <name val="Segoe UI"/>
      <family val="2"/>
    </font>
    <font>
      <sz val="12"/>
      <name val="Segoe U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10" fontId="0" fillId="0" borderId="0" xfId="0" applyNumberFormat="1"/>
    <xf numFmtId="10" fontId="0" fillId="0" borderId="0" xfId="0" applyNumberFormat="1" applyFill="1"/>
    <xf numFmtId="0" fontId="0" fillId="0" borderId="0" xfId="0" applyNumberFormat="1" applyAlignment="1">
      <alignment horizontal="left"/>
    </xf>
    <xf numFmtId="0" fontId="5" fillId="0" borderId="0" xfId="0" applyFont="1" applyFill="1"/>
    <xf numFmtId="0" fontId="1" fillId="0" borderId="1" xfId="0" applyFont="1" applyFill="1" applyBorder="1"/>
    <xf numFmtId="0" fontId="0" fillId="0" borderId="0" xfId="0" applyFill="1" applyAlignment="1">
      <alignment horizontal="left"/>
    </xf>
    <xf numFmtId="0" fontId="1" fillId="0" borderId="0" xfId="0" pivotButton="1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10" fontId="0" fillId="0" borderId="2" xfId="0" applyNumberFormat="1" applyFill="1" applyBorder="1"/>
    <xf numFmtId="0" fontId="3" fillId="0" borderId="2" xfId="0" applyFont="1" applyBorder="1"/>
    <xf numFmtId="10" fontId="0" fillId="0" borderId="2" xfId="0" applyNumberFormat="1" applyBorder="1"/>
    <xf numFmtId="0" fontId="6" fillId="3" borderId="2" xfId="0" applyFont="1" applyFill="1" applyBorder="1" applyAlignment="1">
      <alignment horizontal="left" vertical="center" wrapText="1" indent="1"/>
    </xf>
    <xf numFmtId="0" fontId="4" fillId="0" borderId="2" xfId="0" applyFont="1" applyFill="1" applyBorder="1"/>
    <xf numFmtId="0" fontId="5" fillId="0" borderId="2" xfId="0" applyFont="1" applyFill="1" applyBorder="1"/>
    <xf numFmtId="0" fontId="0" fillId="0" borderId="2" xfId="0" applyNumberFormat="1" applyFont="1" applyFill="1" applyBorder="1"/>
  </cellXfs>
  <cellStyles count="1">
    <cellStyle name="Normal" xfId="0" builtinId="0"/>
  </cellStyles>
  <dxfs count="16"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ill>
        <patternFill patternType="none">
          <bgColor auto="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99.457165046297" createdVersion="6" refreshedVersion="6" minRefreshableVersion="3" recordCount="1400">
  <cacheSource type="worksheet">
    <worksheetSource ref="A1:P1401" sheet="reference 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/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 count="2">
        <n v="0"/>
        <n v="1"/>
      </sharedItems>
    </cacheField>
    <cacheField name="started_trial" numFmtId="0">
      <sharedItems containsSemiMixedTypes="0" containsString="0" containsNumber="1" containsInteger="1" minValue="0" maxValue="1" count="2">
        <n v="0"/>
        <n v="1"/>
      </sharedItems>
    </cacheField>
    <cacheField name="completed_onboarding" numFmtId="0">
      <sharedItems containsSemiMixedTypes="0" containsString="0" containsNumber="1" containsInteger="1" minValue="0" maxValue="1" count="2">
        <n v="0"/>
        <n v="1"/>
      </sharedItems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 count="73">
        <n v="0"/>
        <n v="240.42"/>
        <n v="457.51"/>
        <n v="363.32"/>
        <n v="3887.98"/>
        <n v="8610.7199999999993"/>
        <n v="404.4"/>
        <n v="577.94000000000005"/>
        <n v="1281.25"/>
        <n v="1052.8"/>
        <n v="553.37"/>
        <n v="1250.78"/>
        <n v="1198.69"/>
        <n v="6788.95"/>
        <n v="409.39"/>
        <n v="426.82"/>
        <n v="874.55"/>
        <n v="2206.88"/>
        <n v="2144.8200000000002"/>
        <n v="1518.83"/>
        <n v="513.61"/>
        <n v="751.73"/>
        <n v="347.52"/>
        <n v="444.13"/>
        <n v="516.66999999999996"/>
        <n v="277.18"/>
        <n v="604.09"/>
        <n v="442.37"/>
        <n v="1506.24"/>
        <n v="402.88"/>
        <n v="277.69"/>
        <n v="460.83"/>
        <n v="782.23"/>
        <n v="1171.99"/>
        <n v="1010.4"/>
        <n v="431.27"/>
        <n v="428.8"/>
        <n v="398.33"/>
        <n v="1117.54"/>
        <n v="2064.5500000000002"/>
        <n v="341.38"/>
        <n v="513.52"/>
        <n v="476.44"/>
        <n v="324.68"/>
        <n v="301.98"/>
        <n v="1772.97"/>
        <n v="218.66"/>
        <n v="1938.31"/>
        <n v="1906.23"/>
        <n v="268.95999999999998"/>
        <n v="437.09"/>
        <n v="331.53"/>
        <n v="774.78"/>
        <n v="422.02"/>
        <n v="416.94"/>
        <n v="921.72"/>
        <n v="290.39"/>
        <n v="1858.85"/>
        <n v="1547.06"/>
        <n v="265.58999999999997"/>
        <n v="351.43"/>
        <n v="352.42"/>
        <n v="1074.1600000000001"/>
        <n v="618.91"/>
        <n v="923.67"/>
        <n v="420.27"/>
        <n v="1496.09"/>
        <n v="428.37"/>
        <n v="444.06"/>
        <n v="2660.21"/>
        <n v="323.60000000000002"/>
        <n v="751.33"/>
        <n v="1009.9"/>
      </sharedItems>
    </cacheField>
    <cacheField name="support_tickets_30d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refund_requested" numFmtId="0">
      <sharedItems containsSemiMixedTypes="0" containsString="0" containsNumber="1" containsInteger="1" minValue="0" maxValue="1" count="2">
        <n v="0"/>
        <n v="1"/>
      </sharedItems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emiMixedTypes="0" containsString="0" containsNumber="1" minValue="6.2" maxValue="100" count="527">
        <n v="45.7"/>
        <n v="48.6"/>
        <n v="35.4"/>
        <n v="64.599999999999994"/>
        <n v="66.599999999999994"/>
        <n v="40.799999999999997"/>
        <n v="57.1"/>
        <n v="36.4"/>
        <n v="55.4"/>
        <n v="57.3"/>
        <n v="63.6"/>
        <n v="80.400000000000006"/>
        <n v="62.4"/>
        <n v="82.4"/>
        <n v="61.2"/>
        <n v="68.900000000000006"/>
        <n v="71.900000000000006"/>
        <n v="50.5"/>
        <n v="49.3"/>
        <n v="60.9"/>
        <n v="62.7"/>
        <n v="52.7"/>
        <n v="54"/>
        <n v="51.6"/>
        <n v="66.900000000000006"/>
        <n v="67.400000000000006"/>
        <n v="58.8"/>
        <n v="73.8"/>
        <n v="60.1"/>
        <n v="41"/>
        <n v="80.3"/>
        <n v="67.599999999999994"/>
        <n v="64"/>
        <n v="27.2"/>
        <n v="85.4"/>
        <n v="75.900000000000006"/>
        <n v="34.799999999999997"/>
        <n v="48.9"/>
        <n v="41.5"/>
        <n v="51.5"/>
        <n v="53.2"/>
        <n v="55.6"/>
        <n v="73"/>
        <n v="65"/>
        <n v="56.3"/>
        <n v="58.1"/>
        <n v="80.8"/>
        <n v="42.9"/>
        <n v="46.9"/>
        <n v="63"/>
        <n v="53.6"/>
        <n v="49.6"/>
        <n v="50"/>
        <n v="48.1"/>
        <n v="56.5"/>
        <n v="53.7"/>
        <n v="62.2"/>
        <n v="50.2"/>
        <n v="74.3"/>
        <n v="58"/>
        <n v="46.7"/>
        <n v="60.4"/>
        <n v="55.3"/>
        <n v="56.2"/>
        <n v="29.4"/>
        <n v="54.2"/>
        <n v="46.4"/>
        <n v="54.5"/>
        <n v="58.5"/>
        <n v="84.9"/>
        <n v="48.4"/>
        <n v="38"/>
        <n v="44.2"/>
        <n v="81.2"/>
        <n v="63.8"/>
        <n v="64.7"/>
        <n v="50.9"/>
        <n v="51"/>
        <n v="65.8"/>
        <n v="61.8"/>
        <n v="72.2"/>
        <n v="42.3"/>
        <n v="76.2"/>
        <n v="37.4"/>
        <n v="84.2"/>
        <n v="68"/>
        <n v="53.5"/>
        <n v="63.2"/>
        <n v="55.9"/>
        <n v="63.5"/>
        <n v="74.400000000000006"/>
        <n v="60.2"/>
        <n v="67.2"/>
        <n v="79.599999999999994"/>
        <n v="61"/>
        <n v="51.1"/>
        <n v="92.1"/>
        <n v="82.1"/>
        <n v="74"/>
        <n v="63.4"/>
        <n v="61.5"/>
        <n v="39.1"/>
        <n v="43.8"/>
        <n v="59.9"/>
        <n v="71.400000000000006"/>
        <n v="36.1"/>
        <n v="47.9"/>
        <n v="62.5"/>
        <n v="56.9"/>
        <n v="75.2"/>
        <n v="79"/>
        <n v="33"/>
        <n v="67.900000000000006"/>
        <n v="42.2"/>
        <n v="43.4"/>
        <n v="54.4"/>
        <n v="32"/>
        <n v="70.900000000000006"/>
        <n v="59.1"/>
        <n v="80.599999999999994"/>
        <n v="54.8"/>
        <n v="53.9"/>
        <n v="41.3"/>
        <n v="38.9"/>
        <n v="76.599999999999994"/>
        <n v="43.1"/>
        <n v="58.3"/>
        <n v="69.8"/>
        <n v="41.9"/>
        <n v="33.1"/>
        <n v="58.6"/>
        <n v="55.7"/>
        <n v="64.900000000000006"/>
        <n v="72.3"/>
        <n v="42.1"/>
        <n v="64.8"/>
        <n v="72.099999999999994"/>
        <n v="50.6"/>
        <n v="59.7"/>
        <n v="71.099999999999994"/>
        <n v="44.4"/>
        <n v="61.7"/>
        <n v="81.3"/>
        <n v="28.7"/>
        <n v="53"/>
        <n v="54.9"/>
        <n v="58.2"/>
        <n v="38.4"/>
        <n v="56.1"/>
        <n v="62.6"/>
        <n v="36.299999999999997"/>
        <n v="52.1"/>
        <n v="45.1"/>
        <n v="67.5"/>
        <n v="80"/>
        <n v="56.4"/>
        <n v="54.3"/>
        <n v="37.5"/>
        <n v="52.6"/>
        <n v="46.1"/>
        <n v="54.7"/>
        <n v="74.2"/>
        <n v="65.900000000000006"/>
        <n v="57.2"/>
        <n v="80.5"/>
        <n v="77.5"/>
        <n v="69.3"/>
        <n v="69.599999999999994"/>
        <n v="40.700000000000003"/>
        <n v="46.3"/>
        <n v="64.2"/>
        <n v="62.1"/>
        <n v="45.4"/>
        <n v="53.3"/>
        <n v="38.200000000000003"/>
        <n v="59"/>
        <n v="67"/>
        <n v="74.099999999999994"/>
        <n v="84.8"/>
        <n v="52.5"/>
        <n v="32.700000000000003"/>
        <n v="70.599999999999994"/>
        <n v="69.400000000000006"/>
        <n v="55.8"/>
        <n v="71.8"/>
        <n v="39.700000000000003"/>
        <n v="69.900000000000006"/>
        <n v="45.9"/>
        <n v="48.2"/>
        <n v="81.099999999999994"/>
        <n v="57.7"/>
        <n v="78.900000000000006"/>
        <n v="52.3"/>
        <n v="70.8"/>
        <n v="39"/>
        <n v="61.6"/>
        <n v="46.8"/>
        <n v="43.2"/>
        <n v="33.9"/>
        <n v="45"/>
        <n v="86.5"/>
        <n v="62.8"/>
        <n v="62"/>
        <n v="29.3"/>
        <n v="65.5"/>
        <n v="74.5"/>
        <n v="87.1"/>
        <n v="56"/>
        <n v="70.5"/>
        <n v="33.4"/>
        <n v="57.5"/>
        <n v="85.7"/>
        <n v="70.2"/>
        <n v="42.6"/>
        <n v="30.4"/>
        <n v="63.7"/>
        <n v="42.7"/>
        <n v="40.6"/>
        <n v="48.8"/>
        <n v="88.9"/>
        <n v="60.5"/>
        <n v="58.4"/>
        <n v="79.7"/>
        <n v="44.9"/>
        <n v="38.799999999999997"/>
        <n v="70"/>
        <n v="77.7"/>
        <n v="71.2"/>
        <n v="39.299999999999997"/>
        <n v="66.2"/>
        <n v="61.3"/>
        <n v="84"/>
        <n v="59.8"/>
        <n v="66.8"/>
        <n v="68.8"/>
        <n v="72.400000000000006"/>
        <n v="63.3"/>
        <n v="30.8"/>
        <n v="40.4"/>
        <n v="68.099999999999994"/>
        <n v="86.3"/>
        <n v="61.4"/>
        <n v="73.3"/>
        <n v="59.4"/>
        <n v="35.200000000000003"/>
        <n v="66.400000000000006"/>
        <n v="61.9"/>
        <n v="55.5"/>
        <n v="37.200000000000003"/>
        <n v="91.7"/>
        <n v="46"/>
        <n v="50.8"/>
        <n v="52.8"/>
        <n v="28.4"/>
        <n v="65.599999999999994"/>
        <n v="70.400000000000006"/>
        <n v="79.2"/>
        <n v="69"/>
        <n v="32.799999999999997"/>
        <n v="76.400000000000006"/>
        <n v="28.5"/>
        <n v="48.3"/>
        <n v="43"/>
        <n v="91.8"/>
        <n v="58.9"/>
        <n v="76"/>
        <n v="54.1"/>
        <n v="43.7"/>
        <n v="32.200000000000003"/>
        <n v="49"/>
        <n v="76.5"/>
        <n v="80.2"/>
        <n v="69.099999999999994"/>
        <n v="57.9"/>
        <n v="41.4"/>
        <n v="45.5"/>
        <n v="72.599999999999994"/>
        <n v="50.1"/>
        <n v="69.7"/>
        <n v="35.799999999999997"/>
        <n v="28.2"/>
        <n v="49.9"/>
        <n v="52.4"/>
        <n v="68.2"/>
        <n v="65.400000000000006"/>
        <n v="78.3"/>
        <n v="49.2"/>
        <n v="44.5"/>
        <n v="43.9"/>
        <n v="67.7"/>
        <n v="59.2"/>
        <n v="52.2"/>
        <n v="50.3"/>
        <n v="51.3"/>
        <n v="6.2"/>
        <n v="52.9"/>
        <n v="67.8"/>
        <n v="48.7"/>
        <n v="68.7"/>
        <n v="64.400000000000006"/>
        <n v="100"/>
        <n v="50.4"/>
        <n v="86.2"/>
        <n v="87.5"/>
        <n v="43.6"/>
        <n v="78.599999999999994"/>
        <n v="44.3"/>
        <n v="45.2"/>
        <n v="60.8"/>
        <n v="29.9"/>
        <n v="57.8"/>
        <n v="78.2"/>
        <n v="56.8"/>
        <n v="59.6"/>
        <n v="35.700000000000003"/>
        <n v="47.2"/>
        <n v="31.4"/>
        <n v="38.299999999999997"/>
        <n v="63.1"/>
        <n v="59.5"/>
        <n v="78.8"/>
        <n v="66.3"/>
        <n v="76.7"/>
        <n v="47.4"/>
        <n v="81.7"/>
        <n v="36.799999999999997"/>
        <n v="66.5"/>
        <n v="64.3"/>
        <n v="49.1"/>
        <n v="84.3"/>
        <n v="47.1"/>
        <n v="54.6"/>
        <n v="65.2"/>
        <n v="39.9"/>
        <n v="76.8"/>
        <n v="45.3"/>
        <n v="37.1"/>
        <n v="89.8"/>
        <n v="46.2"/>
        <n v="78"/>
        <n v="62.3"/>
        <n v="25"/>
        <n v="53.4"/>
        <n v="36.700000000000003"/>
        <n v="65.099999999999994"/>
        <n v="20.3"/>
        <n v="78.7"/>
        <n v="47"/>
        <n v="75"/>
        <n v="40.1"/>
        <n v="61.1"/>
        <n v="42.4"/>
        <n v="46.6"/>
        <n v="21.5"/>
        <n v="59.3"/>
        <n v="74.8"/>
        <n v="24.3"/>
        <n v="41.7"/>
        <n v="87.6"/>
        <n v="23.6"/>
        <n v="51.8"/>
        <n v="75.8"/>
        <n v="72.8"/>
        <n v="40.299999999999997"/>
        <n v="60"/>
        <n v="42.5"/>
        <n v="65.3"/>
        <n v="37.6"/>
        <n v="51.7"/>
        <n v="57"/>
        <n v="39.5"/>
        <n v="32.4"/>
        <n v="57.6"/>
        <n v="73.099999999999994"/>
        <n v="33.700000000000003"/>
        <n v="44.8"/>
        <n v="30.7"/>
        <n v="19.100000000000001"/>
        <n v="68.5"/>
        <n v="47.5"/>
        <n v="77.099999999999994"/>
        <n v="52"/>
        <n v="27.6"/>
        <n v="55"/>
        <n v="41.8"/>
        <n v="73.2"/>
        <n v="82.8"/>
        <n v="34.4"/>
        <n v="71.599999999999994"/>
        <n v="37.700000000000003"/>
        <n v="80.7"/>
        <n v="69.2"/>
        <n v="73.599999999999994"/>
        <n v="47.3"/>
        <n v="55.2"/>
        <n v="49.4"/>
        <n v="77.900000000000006"/>
        <n v="82.3"/>
        <n v="79.3"/>
        <n v="67.3"/>
        <n v="83.3"/>
        <n v="24.5"/>
        <n v="81.5"/>
        <n v="37.9"/>
        <n v="53.8"/>
        <n v="73.5"/>
        <n v="76.3"/>
        <n v="56.6"/>
        <n v="47.6"/>
        <n v="56.7"/>
        <n v="67.099999999999994"/>
        <n v="83.8"/>
        <n v="53.1"/>
        <n v="66"/>
        <n v="41.2"/>
        <n v="66.7"/>
        <n v="39.4"/>
        <n v="82.7"/>
        <n v="63.9"/>
        <n v="58.7"/>
        <n v="85.6"/>
        <n v="87.9"/>
        <n v="79.5"/>
        <n v="93.2"/>
        <n v="88.6"/>
        <n v="60.7"/>
        <n v="51.9"/>
        <n v="34.5"/>
        <n v="88.4"/>
        <n v="69.5"/>
        <n v="85.1"/>
        <n v="49.5"/>
        <n v="77.8"/>
        <n v="79.8"/>
        <n v="80.900000000000006"/>
        <n v="86.9"/>
        <n v="68.400000000000006"/>
        <n v="28.3"/>
        <n v="44.1"/>
        <n v="22.9"/>
        <n v="81.900000000000006"/>
        <n v="72.5"/>
        <n v="64.5"/>
        <n v="72.900000000000006"/>
        <n v="82"/>
        <n v="68.3"/>
        <n v="49.7"/>
        <n v="74.599999999999994"/>
        <n v="64.099999999999994"/>
        <n v="83.4"/>
        <n v="80.099999999999994"/>
        <n v="57.4"/>
        <n v="83.6"/>
        <n v="45.8"/>
        <n v="66.099999999999994"/>
        <n v="87.8"/>
        <n v="86.4"/>
        <n v="70.3"/>
        <n v="65.7"/>
        <n v="77.400000000000006"/>
        <n v="84.6"/>
        <n v="93.7"/>
        <n v="73.900000000000006"/>
        <n v="97.4"/>
        <n v="81"/>
        <n v="44.7"/>
        <n v="83.1"/>
        <n v="72.7"/>
        <n v="86.7"/>
        <n v="75.7"/>
        <n v="72"/>
        <n v="75.099999999999994"/>
        <n v="84.1"/>
        <n v="92.7"/>
        <n v="60.3"/>
        <n v="70.099999999999994"/>
        <n v="71.3"/>
        <n v="70.7"/>
        <n v="77.3"/>
        <n v="30.6"/>
        <n v="91.5"/>
        <n v="49.8"/>
        <n v="91.3"/>
        <n v="62.9"/>
        <n v="38.1"/>
        <n v="77.599999999999994"/>
        <n v="27.4"/>
        <n v="73.7"/>
        <n v="82.6"/>
        <n v="84.5"/>
        <n v="34.200000000000003"/>
        <n v="47.7"/>
        <n v="34.700000000000003"/>
        <n v="78.400000000000006"/>
        <n v="74.900000000000006"/>
        <n v="83.7"/>
        <n v="88.7"/>
        <n v="37.299999999999997"/>
        <n v="76.099999999999994"/>
        <n v="88"/>
        <n v="55.1"/>
        <n v="48.5"/>
        <n v="37"/>
        <n v="36.5"/>
        <n v="81.8"/>
        <n v="79.400000000000006"/>
        <n v="43.5"/>
        <n v="51.2"/>
        <n v="71.5"/>
        <n v="88.3"/>
        <n v="81.599999999999994"/>
        <n v="91.6"/>
        <n v="32.6"/>
        <n v="99.9"/>
        <n v="90"/>
        <n v="39.6"/>
        <n v="76.900000000000006"/>
        <n v="51.4"/>
        <n v="90.5"/>
        <n v="33.6"/>
        <n v="88.2"/>
        <n v="60.6"/>
        <n v="31.2"/>
        <n v="75.400000000000006"/>
        <n v="34"/>
        <n v="38.5"/>
        <n v="89.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0">
  <r>
    <s v="USR-100001"/>
    <d v="2025-03-16T00:00:00"/>
    <x v="0"/>
    <x v="0"/>
    <s v="Desktop"/>
    <x v="0"/>
    <x v="0"/>
    <x v="0"/>
    <x v="0"/>
    <x v="0"/>
    <x v="0"/>
    <x v="0"/>
    <x v="0"/>
    <x v="0"/>
    <m/>
    <x v="0"/>
  </r>
  <r>
    <s v="USR-100002"/>
    <d v="2025-03-08T00:00:00"/>
    <x v="0"/>
    <x v="1"/>
    <s v="Mobile"/>
    <x v="1"/>
    <x v="1"/>
    <x v="1"/>
    <x v="0"/>
    <x v="0"/>
    <x v="0"/>
    <x v="0"/>
    <x v="0"/>
    <x v="0"/>
    <m/>
    <x v="1"/>
  </r>
  <r>
    <s v="USR-100003"/>
    <d v="2025-04-24T00:00:00"/>
    <x v="0"/>
    <x v="2"/>
    <s v="Mobile"/>
    <x v="2"/>
    <x v="2"/>
    <x v="1"/>
    <x v="0"/>
    <x v="0"/>
    <x v="0"/>
    <x v="0"/>
    <x v="1"/>
    <x v="0"/>
    <m/>
    <x v="2"/>
  </r>
  <r>
    <s v="USR-100004"/>
    <d v="2025-05-04T00:00:00"/>
    <x v="0"/>
    <x v="3"/>
    <s v="Mobile"/>
    <x v="0"/>
    <x v="0"/>
    <x v="1"/>
    <x v="0"/>
    <x v="0"/>
    <x v="0"/>
    <x v="0"/>
    <x v="0"/>
    <x v="0"/>
    <m/>
    <x v="3"/>
  </r>
  <r>
    <s v="USR-100005"/>
    <d v="2025-02-12T00:00:00"/>
    <x v="0"/>
    <x v="0"/>
    <s v="Tablet"/>
    <x v="1"/>
    <x v="1"/>
    <x v="0"/>
    <x v="0"/>
    <x v="0"/>
    <x v="0"/>
    <x v="0"/>
    <x v="0"/>
    <x v="0"/>
    <m/>
    <x v="4"/>
  </r>
  <r>
    <s v="USR-100006"/>
    <d v="2025-01-28T00:00:00"/>
    <x v="0"/>
    <x v="2"/>
    <s v="Mobile"/>
    <x v="1"/>
    <x v="2"/>
    <x v="1"/>
    <x v="0"/>
    <x v="0"/>
    <x v="0"/>
    <x v="0"/>
    <x v="0"/>
    <x v="0"/>
    <m/>
    <x v="5"/>
  </r>
  <r>
    <s v="USR-100007"/>
    <d v="2025-04-08T00:00:00"/>
    <x v="0"/>
    <x v="2"/>
    <s v="Mobile"/>
    <x v="2"/>
    <x v="0"/>
    <x v="1"/>
    <x v="1"/>
    <x v="0"/>
    <x v="0"/>
    <x v="0"/>
    <x v="0"/>
    <x v="0"/>
    <m/>
    <x v="6"/>
  </r>
  <r>
    <s v="USR-100008"/>
    <d v="2025-05-17T00:00:00"/>
    <x v="0"/>
    <x v="3"/>
    <s v="Mobile"/>
    <x v="2"/>
    <x v="1"/>
    <x v="0"/>
    <x v="0"/>
    <x v="0"/>
    <x v="0"/>
    <x v="0"/>
    <x v="0"/>
    <x v="0"/>
    <m/>
    <x v="7"/>
  </r>
  <r>
    <s v="USR-100009"/>
    <d v="2025-02-23T00:00:00"/>
    <x v="0"/>
    <x v="3"/>
    <s v="Tablet"/>
    <x v="3"/>
    <x v="0"/>
    <x v="0"/>
    <x v="0"/>
    <x v="0"/>
    <x v="0"/>
    <x v="0"/>
    <x v="0"/>
    <x v="0"/>
    <m/>
    <x v="8"/>
  </r>
  <r>
    <s v="USR-100010"/>
    <d v="2025-05-29T00:00:00"/>
    <x v="0"/>
    <x v="1"/>
    <s v="Desktop"/>
    <x v="4"/>
    <x v="1"/>
    <x v="1"/>
    <x v="0"/>
    <x v="0"/>
    <x v="0"/>
    <x v="0"/>
    <x v="0"/>
    <x v="0"/>
    <m/>
    <x v="9"/>
  </r>
  <r>
    <s v="USR-100011"/>
    <d v="2025-04-30T00:00:00"/>
    <x v="0"/>
    <x v="2"/>
    <s v="Mobile"/>
    <x v="2"/>
    <x v="0"/>
    <x v="1"/>
    <x v="1"/>
    <x v="1"/>
    <x v="0"/>
    <x v="0"/>
    <x v="0"/>
    <x v="0"/>
    <m/>
    <x v="10"/>
  </r>
  <r>
    <s v="USR-100012"/>
    <d v="2025-03-16T00:00:00"/>
    <x v="0"/>
    <x v="2"/>
    <s v="Mobile"/>
    <x v="4"/>
    <x v="2"/>
    <x v="1"/>
    <x v="1"/>
    <x v="1"/>
    <x v="0"/>
    <x v="0"/>
    <x v="1"/>
    <x v="0"/>
    <m/>
    <x v="11"/>
  </r>
  <r>
    <s v="USR-100013"/>
    <d v="2025-02-07T00:00:00"/>
    <x v="0"/>
    <x v="3"/>
    <s v="Desktop"/>
    <x v="0"/>
    <x v="0"/>
    <x v="1"/>
    <x v="0"/>
    <x v="0"/>
    <x v="0"/>
    <x v="0"/>
    <x v="0"/>
    <x v="0"/>
    <m/>
    <x v="12"/>
  </r>
  <r>
    <s v="USR-100014"/>
    <d v="2025-03-02T00:00:00"/>
    <x v="0"/>
    <x v="1"/>
    <s v="Mobile"/>
    <x v="4"/>
    <x v="0"/>
    <x v="1"/>
    <x v="0"/>
    <x v="0"/>
    <x v="0"/>
    <x v="0"/>
    <x v="0"/>
    <x v="0"/>
    <m/>
    <x v="13"/>
  </r>
  <r>
    <s v="USR-100015"/>
    <d v="2025-05-30T00:00:00"/>
    <x v="0"/>
    <x v="3"/>
    <s v="Mobile"/>
    <x v="1"/>
    <x v="0"/>
    <x v="0"/>
    <x v="0"/>
    <x v="0"/>
    <x v="0"/>
    <x v="0"/>
    <x v="0"/>
    <x v="0"/>
    <m/>
    <x v="14"/>
  </r>
  <r>
    <s v="USR-100016"/>
    <d v="2025-03-25T00:00:00"/>
    <x v="0"/>
    <x v="3"/>
    <s v="Mobile"/>
    <x v="4"/>
    <x v="0"/>
    <x v="1"/>
    <x v="0"/>
    <x v="0"/>
    <x v="0"/>
    <x v="0"/>
    <x v="0"/>
    <x v="0"/>
    <m/>
    <x v="15"/>
  </r>
  <r>
    <s v="USR-100017"/>
    <d v="2025-03-27T00:00:00"/>
    <x v="0"/>
    <x v="2"/>
    <s v="Desktop"/>
    <x v="2"/>
    <x v="1"/>
    <x v="1"/>
    <x v="1"/>
    <x v="1"/>
    <x v="0"/>
    <x v="0"/>
    <x v="0"/>
    <x v="0"/>
    <m/>
    <x v="16"/>
  </r>
  <r>
    <s v="USR-100018"/>
    <d v="2025-05-28T00:00:00"/>
    <x v="0"/>
    <x v="3"/>
    <s v="Desktop"/>
    <x v="2"/>
    <x v="1"/>
    <x v="0"/>
    <x v="0"/>
    <x v="0"/>
    <x v="0"/>
    <x v="0"/>
    <x v="0"/>
    <x v="0"/>
    <m/>
    <x v="17"/>
  </r>
  <r>
    <s v="USR-100019"/>
    <d v="2025-02-15T00:00:00"/>
    <x v="0"/>
    <x v="0"/>
    <s v="Desktop"/>
    <x v="2"/>
    <x v="0"/>
    <x v="0"/>
    <x v="0"/>
    <x v="0"/>
    <x v="0"/>
    <x v="0"/>
    <x v="0"/>
    <x v="0"/>
    <m/>
    <x v="18"/>
  </r>
  <r>
    <s v="USR-100020"/>
    <d v="2025-05-05T00:00:00"/>
    <x v="0"/>
    <x v="1"/>
    <s v="Desktop"/>
    <x v="1"/>
    <x v="0"/>
    <x v="0"/>
    <x v="0"/>
    <x v="0"/>
    <x v="0"/>
    <x v="0"/>
    <x v="2"/>
    <x v="0"/>
    <m/>
    <x v="19"/>
  </r>
  <r>
    <s v="USR-100021"/>
    <d v="2025-04-13T00:00:00"/>
    <x v="0"/>
    <x v="2"/>
    <s v="Mobile"/>
    <x v="4"/>
    <x v="1"/>
    <x v="1"/>
    <x v="0"/>
    <x v="0"/>
    <x v="0"/>
    <x v="0"/>
    <x v="0"/>
    <x v="0"/>
    <m/>
    <x v="20"/>
  </r>
  <r>
    <s v="USR-100022"/>
    <d v="2025-05-07T00:00:00"/>
    <x v="0"/>
    <x v="0"/>
    <s v="Desktop"/>
    <x v="2"/>
    <x v="1"/>
    <x v="0"/>
    <x v="0"/>
    <x v="0"/>
    <x v="0"/>
    <x v="0"/>
    <x v="0"/>
    <x v="0"/>
    <m/>
    <x v="21"/>
  </r>
  <r>
    <s v="USR-100023"/>
    <d v="2025-05-25T00:00:00"/>
    <x v="0"/>
    <x v="0"/>
    <s v="Desktop"/>
    <x v="1"/>
    <x v="1"/>
    <x v="0"/>
    <x v="0"/>
    <x v="0"/>
    <x v="0"/>
    <x v="0"/>
    <x v="0"/>
    <x v="0"/>
    <m/>
    <x v="22"/>
  </r>
  <r>
    <s v="USR-100024"/>
    <d v="2025-04-01T00:00:00"/>
    <x v="0"/>
    <x v="2"/>
    <s v="Mobile"/>
    <x v="2"/>
    <x v="2"/>
    <x v="1"/>
    <x v="1"/>
    <x v="0"/>
    <x v="0"/>
    <x v="0"/>
    <x v="0"/>
    <x v="0"/>
    <m/>
    <x v="23"/>
  </r>
  <r>
    <s v="USR-100025"/>
    <d v="2025-02-22T00:00:00"/>
    <x v="0"/>
    <x v="0"/>
    <s v="Mobile"/>
    <x v="2"/>
    <x v="2"/>
    <x v="0"/>
    <x v="0"/>
    <x v="0"/>
    <x v="0"/>
    <x v="0"/>
    <x v="2"/>
    <x v="0"/>
    <m/>
    <x v="24"/>
  </r>
  <r>
    <s v="USR-100026"/>
    <d v="2025-03-24T00:00:00"/>
    <x v="0"/>
    <x v="2"/>
    <s v="Mobile"/>
    <x v="1"/>
    <x v="0"/>
    <x v="0"/>
    <x v="0"/>
    <x v="0"/>
    <x v="0"/>
    <x v="0"/>
    <x v="0"/>
    <x v="0"/>
    <m/>
    <x v="25"/>
  </r>
  <r>
    <s v="USR-100027"/>
    <d v="2025-02-13T00:00:00"/>
    <x v="0"/>
    <x v="0"/>
    <s v="Mobile"/>
    <x v="1"/>
    <x v="1"/>
    <x v="0"/>
    <x v="0"/>
    <x v="0"/>
    <x v="0"/>
    <x v="0"/>
    <x v="0"/>
    <x v="0"/>
    <m/>
    <x v="26"/>
  </r>
  <r>
    <s v="USR-100028"/>
    <d v="2025-05-30T00:00:00"/>
    <x v="0"/>
    <x v="3"/>
    <s v="Mobile"/>
    <x v="1"/>
    <x v="1"/>
    <x v="1"/>
    <x v="0"/>
    <x v="0"/>
    <x v="0"/>
    <x v="0"/>
    <x v="0"/>
    <x v="0"/>
    <m/>
    <x v="27"/>
  </r>
  <r>
    <s v="USR-100029"/>
    <d v="2025-01-20T00:00:00"/>
    <x v="0"/>
    <x v="2"/>
    <s v="Tablet"/>
    <x v="1"/>
    <x v="0"/>
    <x v="0"/>
    <x v="0"/>
    <x v="0"/>
    <x v="0"/>
    <x v="0"/>
    <x v="0"/>
    <x v="0"/>
    <m/>
    <x v="28"/>
  </r>
  <r>
    <s v="USR-100030"/>
    <d v="2025-05-19T00:00:00"/>
    <x v="0"/>
    <x v="2"/>
    <s v="Mobile"/>
    <x v="4"/>
    <x v="0"/>
    <x v="1"/>
    <x v="1"/>
    <x v="1"/>
    <x v="0"/>
    <x v="0"/>
    <x v="0"/>
    <x v="0"/>
    <m/>
    <x v="29"/>
  </r>
  <r>
    <s v="USR-100031"/>
    <d v="2025-02-18T00:00:00"/>
    <x v="0"/>
    <x v="3"/>
    <s v="Mobile"/>
    <x v="1"/>
    <x v="0"/>
    <x v="1"/>
    <x v="0"/>
    <x v="0"/>
    <x v="0"/>
    <x v="0"/>
    <x v="0"/>
    <x v="0"/>
    <m/>
    <x v="30"/>
  </r>
  <r>
    <s v="USR-100032"/>
    <d v="2025-02-13T00:00:00"/>
    <x v="0"/>
    <x v="2"/>
    <s v="Mobile"/>
    <x v="1"/>
    <x v="1"/>
    <x v="0"/>
    <x v="0"/>
    <x v="0"/>
    <x v="0"/>
    <x v="0"/>
    <x v="0"/>
    <x v="0"/>
    <m/>
    <x v="31"/>
  </r>
  <r>
    <s v="USR-100033"/>
    <d v="2025-03-08T00:00:00"/>
    <x v="0"/>
    <x v="2"/>
    <s v="Desktop"/>
    <x v="3"/>
    <x v="2"/>
    <x v="0"/>
    <x v="0"/>
    <x v="0"/>
    <x v="0"/>
    <x v="0"/>
    <x v="0"/>
    <x v="0"/>
    <m/>
    <x v="32"/>
  </r>
  <r>
    <s v="USR-100034"/>
    <d v="2025-01-11T00:00:00"/>
    <x v="0"/>
    <x v="0"/>
    <s v="Mobile"/>
    <x v="2"/>
    <x v="1"/>
    <x v="1"/>
    <x v="1"/>
    <x v="0"/>
    <x v="0"/>
    <x v="0"/>
    <x v="0"/>
    <x v="0"/>
    <m/>
    <x v="33"/>
  </r>
  <r>
    <s v="USR-100035"/>
    <d v="2025-02-12T00:00:00"/>
    <x v="0"/>
    <x v="0"/>
    <s v="Desktop"/>
    <x v="1"/>
    <x v="1"/>
    <x v="1"/>
    <x v="0"/>
    <x v="0"/>
    <x v="0"/>
    <x v="0"/>
    <x v="0"/>
    <x v="0"/>
    <m/>
    <x v="34"/>
  </r>
  <r>
    <s v="USR-100036"/>
    <d v="2025-04-13T00:00:00"/>
    <x v="0"/>
    <x v="2"/>
    <s v="Desktop"/>
    <x v="1"/>
    <x v="0"/>
    <x v="1"/>
    <x v="0"/>
    <x v="0"/>
    <x v="0"/>
    <x v="0"/>
    <x v="0"/>
    <x v="0"/>
    <m/>
    <x v="35"/>
  </r>
  <r>
    <s v="USR-100037"/>
    <d v="2025-05-09T00:00:00"/>
    <x v="0"/>
    <x v="2"/>
    <s v="Mobile"/>
    <x v="1"/>
    <x v="2"/>
    <x v="1"/>
    <x v="0"/>
    <x v="0"/>
    <x v="0"/>
    <x v="0"/>
    <x v="1"/>
    <x v="0"/>
    <m/>
    <x v="36"/>
  </r>
  <r>
    <s v="USR-100038"/>
    <d v="2025-01-20T00:00:00"/>
    <x v="0"/>
    <x v="2"/>
    <s v="Mobile"/>
    <x v="1"/>
    <x v="1"/>
    <x v="1"/>
    <x v="1"/>
    <x v="1"/>
    <x v="0"/>
    <x v="0"/>
    <x v="3"/>
    <x v="0"/>
    <m/>
    <x v="37"/>
  </r>
  <r>
    <s v="USR-100039"/>
    <d v="2025-05-13T00:00:00"/>
    <x v="0"/>
    <x v="2"/>
    <s v="Mobile"/>
    <x v="0"/>
    <x v="2"/>
    <x v="1"/>
    <x v="0"/>
    <x v="0"/>
    <x v="0"/>
    <x v="0"/>
    <x v="0"/>
    <x v="0"/>
    <m/>
    <x v="38"/>
  </r>
  <r>
    <s v="USR-100040"/>
    <d v="2025-04-07T00:00:00"/>
    <x v="0"/>
    <x v="0"/>
    <s v="Desktop"/>
    <x v="1"/>
    <x v="0"/>
    <x v="1"/>
    <x v="0"/>
    <x v="0"/>
    <x v="0"/>
    <x v="0"/>
    <x v="0"/>
    <x v="0"/>
    <m/>
    <x v="39"/>
  </r>
  <r>
    <s v="USR-100041"/>
    <d v="2025-03-31T00:00:00"/>
    <x v="0"/>
    <x v="0"/>
    <s v="Desktop"/>
    <x v="1"/>
    <x v="1"/>
    <x v="0"/>
    <x v="0"/>
    <x v="0"/>
    <x v="0"/>
    <x v="0"/>
    <x v="0"/>
    <x v="0"/>
    <m/>
    <x v="40"/>
  </r>
  <r>
    <s v="USR-100042"/>
    <d v="2025-01-25T00:00:00"/>
    <x v="0"/>
    <x v="2"/>
    <s v="Mobile"/>
    <x v="0"/>
    <x v="2"/>
    <x v="0"/>
    <x v="0"/>
    <x v="0"/>
    <x v="0"/>
    <x v="0"/>
    <x v="0"/>
    <x v="0"/>
    <m/>
    <x v="41"/>
  </r>
  <r>
    <s v="USR-100043"/>
    <d v="2025-02-14T00:00:00"/>
    <x v="0"/>
    <x v="3"/>
    <s v="Desktop"/>
    <x v="1"/>
    <x v="1"/>
    <x v="0"/>
    <x v="0"/>
    <x v="0"/>
    <x v="0"/>
    <x v="0"/>
    <x v="0"/>
    <x v="0"/>
    <m/>
    <x v="42"/>
  </r>
  <r>
    <s v="USR-100044"/>
    <d v="2025-02-27T00:00:00"/>
    <x v="0"/>
    <x v="2"/>
    <s v="Mobile"/>
    <x v="0"/>
    <x v="1"/>
    <x v="1"/>
    <x v="0"/>
    <x v="0"/>
    <x v="0"/>
    <x v="0"/>
    <x v="0"/>
    <x v="0"/>
    <m/>
    <x v="43"/>
  </r>
  <r>
    <s v="USR-100045"/>
    <d v="2025-03-28T00:00:00"/>
    <x v="0"/>
    <x v="2"/>
    <s v="Mobile"/>
    <x v="4"/>
    <x v="1"/>
    <x v="1"/>
    <x v="0"/>
    <x v="0"/>
    <x v="0"/>
    <x v="0"/>
    <x v="4"/>
    <x v="0"/>
    <m/>
    <x v="44"/>
  </r>
  <r>
    <s v="USR-100046"/>
    <d v="2025-05-25T00:00:00"/>
    <x v="0"/>
    <x v="2"/>
    <s v="Mobile"/>
    <x v="3"/>
    <x v="2"/>
    <x v="1"/>
    <x v="0"/>
    <x v="0"/>
    <x v="0"/>
    <x v="0"/>
    <x v="0"/>
    <x v="0"/>
    <m/>
    <x v="12"/>
  </r>
  <r>
    <s v="USR-100047"/>
    <d v="2025-05-05T00:00:00"/>
    <x v="0"/>
    <x v="1"/>
    <s v="Desktop"/>
    <x v="1"/>
    <x v="1"/>
    <x v="1"/>
    <x v="1"/>
    <x v="1"/>
    <x v="0"/>
    <x v="0"/>
    <x v="0"/>
    <x v="0"/>
    <m/>
    <x v="45"/>
  </r>
  <r>
    <s v="USR-100048"/>
    <d v="2025-05-16T00:00:00"/>
    <x v="0"/>
    <x v="0"/>
    <s v="Mobile"/>
    <x v="1"/>
    <x v="1"/>
    <x v="1"/>
    <x v="1"/>
    <x v="1"/>
    <x v="0"/>
    <x v="0"/>
    <x v="0"/>
    <x v="0"/>
    <m/>
    <x v="46"/>
  </r>
  <r>
    <s v="USR-100049"/>
    <d v="2025-01-08T00:00:00"/>
    <x v="0"/>
    <x v="0"/>
    <s v="Mobile"/>
    <x v="4"/>
    <x v="1"/>
    <x v="1"/>
    <x v="1"/>
    <x v="0"/>
    <x v="0"/>
    <x v="0"/>
    <x v="0"/>
    <x v="0"/>
    <m/>
    <x v="47"/>
  </r>
  <r>
    <s v="USR-100050"/>
    <d v="2025-01-06T00:00:00"/>
    <x v="0"/>
    <x v="1"/>
    <s v="Desktop"/>
    <x v="2"/>
    <x v="1"/>
    <x v="1"/>
    <x v="0"/>
    <x v="0"/>
    <x v="0"/>
    <x v="0"/>
    <x v="0"/>
    <x v="0"/>
    <m/>
    <x v="21"/>
  </r>
  <r>
    <s v="USR-100051"/>
    <d v="2025-01-12T00:00:00"/>
    <x v="0"/>
    <x v="0"/>
    <s v="Mobile"/>
    <x v="4"/>
    <x v="0"/>
    <x v="0"/>
    <x v="0"/>
    <x v="0"/>
    <x v="0"/>
    <x v="0"/>
    <x v="0"/>
    <x v="0"/>
    <m/>
    <x v="48"/>
  </r>
  <r>
    <s v="USR-100052"/>
    <d v="2025-02-14T00:00:00"/>
    <x v="0"/>
    <x v="2"/>
    <s v="Desktop"/>
    <x v="0"/>
    <x v="2"/>
    <x v="1"/>
    <x v="0"/>
    <x v="0"/>
    <x v="0"/>
    <x v="0"/>
    <x v="0"/>
    <x v="0"/>
    <m/>
    <x v="49"/>
  </r>
  <r>
    <s v="USR-100053"/>
    <d v="2025-03-10T00:00:00"/>
    <x v="0"/>
    <x v="3"/>
    <s v="Tablet"/>
    <x v="1"/>
    <x v="1"/>
    <x v="0"/>
    <x v="0"/>
    <x v="0"/>
    <x v="0"/>
    <x v="0"/>
    <x v="0"/>
    <x v="0"/>
    <m/>
    <x v="50"/>
  </r>
  <r>
    <s v="USR-100054"/>
    <d v="2025-04-20T00:00:00"/>
    <x v="0"/>
    <x v="1"/>
    <s v="Desktop"/>
    <x v="1"/>
    <x v="0"/>
    <x v="0"/>
    <x v="0"/>
    <x v="0"/>
    <x v="0"/>
    <x v="0"/>
    <x v="0"/>
    <x v="0"/>
    <m/>
    <x v="51"/>
  </r>
  <r>
    <s v="USR-100055"/>
    <d v="2025-02-19T00:00:00"/>
    <x v="0"/>
    <x v="3"/>
    <s v="Mobile"/>
    <x v="1"/>
    <x v="1"/>
    <x v="0"/>
    <x v="0"/>
    <x v="0"/>
    <x v="0"/>
    <x v="0"/>
    <x v="0"/>
    <x v="0"/>
    <m/>
    <x v="22"/>
  </r>
  <r>
    <s v="USR-100056"/>
    <d v="2025-05-17T00:00:00"/>
    <x v="0"/>
    <x v="3"/>
    <s v="Mobile"/>
    <x v="4"/>
    <x v="0"/>
    <x v="1"/>
    <x v="0"/>
    <x v="0"/>
    <x v="0"/>
    <x v="0"/>
    <x v="2"/>
    <x v="0"/>
    <m/>
    <x v="52"/>
  </r>
  <r>
    <s v="USR-100057"/>
    <d v="2025-04-01T00:00:00"/>
    <x v="0"/>
    <x v="2"/>
    <s v="Mobile"/>
    <x v="4"/>
    <x v="0"/>
    <x v="0"/>
    <x v="0"/>
    <x v="0"/>
    <x v="0"/>
    <x v="0"/>
    <x v="0"/>
    <x v="0"/>
    <m/>
    <x v="53"/>
  </r>
  <r>
    <s v="USR-100058"/>
    <d v="2025-02-04T00:00:00"/>
    <x v="0"/>
    <x v="0"/>
    <s v="Desktop"/>
    <x v="1"/>
    <x v="1"/>
    <x v="1"/>
    <x v="0"/>
    <x v="0"/>
    <x v="0"/>
    <x v="0"/>
    <x v="0"/>
    <x v="0"/>
    <m/>
    <x v="51"/>
  </r>
  <r>
    <s v="USR-100059"/>
    <d v="2025-04-14T00:00:00"/>
    <x v="0"/>
    <x v="0"/>
    <s v="Mobile"/>
    <x v="4"/>
    <x v="1"/>
    <x v="0"/>
    <x v="0"/>
    <x v="0"/>
    <x v="0"/>
    <x v="0"/>
    <x v="2"/>
    <x v="0"/>
    <m/>
    <x v="37"/>
  </r>
  <r>
    <s v="USR-100060"/>
    <d v="2025-01-01T00:00:00"/>
    <x v="0"/>
    <x v="1"/>
    <s v="Mobile"/>
    <x v="4"/>
    <x v="1"/>
    <x v="1"/>
    <x v="1"/>
    <x v="1"/>
    <x v="1"/>
    <x v="1"/>
    <x v="0"/>
    <x v="0"/>
    <n v="16"/>
    <x v="54"/>
  </r>
  <r>
    <s v="USR-100061"/>
    <d v="2025-04-02T00:00:00"/>
    <x v="0"/>
    <x v="3"/>
    <s v="Mobile"/>
    <x v="3"/>
    <x v="1"/>
    <x v="1"/>
    <x v="0"/>
    <x v="0"/>
    <x v="0"/>
    <x v="0"/>
    <x v="0"/>
    <x v="0"/>
    <m/>
    <x v="55"/>
  </r>
  <r>
    <s v="USR-100062"/>
    <d v="2025-03-29T00:00:00"/>
    <x v="0"/>
    <x v="0"/>
    <s v="Mobile"/>
    <x v="4"/>
    <x v="2"/>
    <x v="0"/>
    <x v="0"/>
    <x v="0"/>
    <x v="0"/>
    <x v="0"/>
    <x v="0"/>
    <x v="0"/>
    <m/>
    <x v="56"/>
  </r>
  <r>
    <s v="USR-100063"/>
    <d v="2025-05-15T00:00:00"/>
    <x v="0"/>
    <x v="3"/>
    <s v="Desktop"/>
    <x v="1"/>
    <x v="1"/>
    <x v="1"/>
    <x v="0"/>
    <x v="0"/>
    <x v="0"/>
    <x v="0"/>
    <x v="0"/>
    <x v="0"/>
    <m/>
    <x v="57"/>
  </r>
  <r>
    <s v="USR-100064"/>
    <d v="2025-04-11T00:00:00"/>
    <x v="0"/>
    <x v="0"/>
    <s v="Mobile"/>
    <x v="1"/>
    <x v="0"/>
    <x v="1"/>
    <x v="0"/>
    <x v="0"/>
    <x v="0"/>
    <x v="0"/>
    <x v="0"/>
    <x v="0"/>
    <m/>
    <x v="58"/>
  </r>
  <r>
    <s v="USR-100065"/>
    <d v="2025-03-07T00:00:00"/>
    <x v="0"/>
    <x v="3"/>
    <s v="Desktop"/>
    <x v="2"/>
    <x v="1"/>
    <x v="1"/>
    <x v="0"/>
    <x v="0"/>
    <x v="0"/>
    <x v="0"/>
    <x v="0"/>
    <x v="0"/>
    <m/>
    <x v="59"/>
  </r>
  <r>
    <s v="USR-100066"/>
    <d v="2025-05-30T00:00:00"/>
    <x v="0"/>
    <x v="3"/>
    <s v="Mobile"/>
    <x v="1"/>
    <x v="1"/>
    <x v="0"/>
    <x v="0"/>
    <x v="0"/>
    <x v="0"/>
    <x v="0"/>
    <x v="0"/>
    <x v="0"/>
    <m/>
    <x v="60"/>
  </r>
  <r>
    <s v="USR-100067"/>
    <d v="2025-01-07T00:00:00"/>
    <x v="0"/>
    <x v="3"/>
    <s v="Desktop"/>
    <x v="1"/>
    <x v="2"/>
    <x v="1"/>
    <x v="0"/>
    <x v="0"/>
    <x v="0"/>
    <x v="0"/>
    <x v="1"/>
    <x v="0"/>
    <m/>
    <x v="51"/>
  </r>
  <r>
    <s v="USR-100068"/>
    <d v="2025-05-08T00:00:00"/>
    <x v="0"/>
    <x v="1"/>
    <s v="Mobile"/>
    <x v="4"/>
    <x v="1"/>
    <x v="0"/>
    <x v="0"/>
    <x v="0"/>
    <x v="0"/>
    <x v="0"/>
    <x v="0"/>
    <x v="0"/>
    <m/>
    <x v="61"/>
  </r>
  <r>
    <s v="USR-100069"/>
    <d v="2025-03-19T00:00:00"/>
    <x v="0"/>
    <x v="2"/>
    <s v="Desktop"/>
    <x v="0"/>
    <x v="1"/>
    <x v="1"/>
    <x v="1"/>
    <x v="1"/>
    <x v="0"/>
    <x v="0"/>
    <x v="0"/>
    <x v="0"/>
    <m/>
    <x v="62"/>
  </r>
  <r>
    <s v="USR-100070"/>
    <d v="2025-05-16T00:00:00"/>
    <x v="0"/>
    <x v="0"/>
    <s v="Desktop"/>
    <x v="1"/>
    <x v="1"/>
    <x v="0"/>
    <x v="0"/>
    <x v="0"/>
    <x v="0"/>
    <x v="0"/>
    <x v="0"/>
    <x v="0"/>
    <m/>
    <x v="63"/>
  </r>
  <r>
    <s v="USR-100071"/>
    <d v="2025-03-08T00:00:00"/>
    <x v="0"/>
    <x v="1"/>
    <s v="Mobile"/>
    <x v="0"/>
    <x v="1"/>
    <x v="0"/>
    <x v="0"/>
    <x v="0"/>
    <x v="0"/>
    <x v="0"/>
    <x v="0"/>
    <x v="0"/>
    <m/>
    <x v="64"/>
  </r>
  <r>
    <s v="USR-100072"/>
    <d v="2025-03-08T00:00:00"/>
    <x v="0"/>
    <x v="2"/>
    <s v="Mobile"/>
    <x v="0"/>
    <x v="1"/>
    <x v="1"/>
    <x v="0"/>
    <x v="0"/>
    <x v="0"/>
    <x v="0"/>
    <x v="0"/>
    <x v="0"/>
    <m/>
    <x v="65"/>
  </r>
  <r>
    <s v="USR-100073"/>
    <d v="2025-01-14T00:00:00"/>
    <x v="0"/>
    <x v="2"/>
    <s v="Desktop"/>
    <x v="2"/>
    <x v="0"/>
    <x v="0"/>
    <x v="0"/>
    <x v="0"/>
    <x v="0"/>
    <x v="0"/>
    <x v="0"/>
    <x v="0"/>
    <m/>
    <x v="66"/>
  </r>
  <r>
    <s v="USR-100074"/>
    <d v="2025-02-10T00:00:00"/>
    <x v="0"/>
    <x v="3"/>
    <s v="Mobile"/>
    <x v="2"/>
    <x v="0"/>
    <x v="0"/>
    <x v="0"/>
    <x v="0"/>
    <x v="0"/>
    <x v="0"/>
    <x v="0"/>
    <x v="0"/>
    <m/>
    <x v="67"/>
  </r>
  <r>
    <s v="USR-100075"/>
    <d v="2025-03-17T00:00:00"/>
    <x v="0"/>
    <x v="0"/>
    <s v="Mobile"/>
    <x v="1"/>
    <x v="1"/>
    <x v="0"/>
    <x v="0"/>
    <x v="0"/>
    <x v="0"/>
    <x v="0"/>
    <x v="0"/>
    <x v="0"/>
    <m/>
    <x v="68"/>
  </r>
  <r>
    <s v="USR-100076"/>
    <d v="2025-01-09T00:00:00"/>
    <x v="0"/>
    <x v="3"/>
    <s v="Mobile"/>
    <x v="0"/>
    <x v="1"/>
    <x v="0"/>
    <x v="0"/>
    <x v="0"/>
    <x v="0"/>
    <x v="0"/>
    <x v="0"/>
    <x v="0"/>
    <m/>
    <x v="35"/>
  </r>
  <r>
    <s v="USR-100077"/>
    <d v="2025-04-17T00:00:00"/>
    <x v="0"/>
    <x v="0"/>
    <s v="Mobile"/>
    <x v="3"/>
    <x v="1"/>
    <x v="0"/>
    <x v="0"/>
    <x v="0"/>
    <x v="0"/>
    <x v="0"/>
    <x v="1"/>
    <x v="0"/>
    <m/>
    <x v="69"/>
  </r>
  <r>
    <s v="USR-100078"/>
    <d v="2025-01-16T00:00:00"/>
    <x v="0"/>
    <x v="0"/>
    <s v="Mobile"/>
    <x v="1"/>
    <x v="1"/>
    <x v="0"/>
    <x v="0"/>
    <x v="0"/>
    <x v="0"/>
    <x v="0"/>
    <x v="2"/>
    <x v="0"/>
    <m/>
    <x v="70"/>
  </r>
  <r>
    <s v="USR-100079"/>
    <d v="2025-02-20T00:00:00"/>
    <x v="0"/>
    <x v="1"/>
    <s v="Desktop"/>
    <x v="1"/>
    <x v="1"/>
    <x v="1"/>
    <x v="1"/>
    <x v="1"/>
    <x v="1"/>
    <x v="2"/>
    <x v="0"/>
    <x v="0"/>
    <n v="7"/>
    <x v="71"/>
  </r>
  <r>
    <s v="USR-100080"/>
    <d v="2025-05-21T00:00:00"/>
    <x v="0"/>
    <x v="2"/>
    <s v="Mobile"/>
    <x v="4"/>
    <x v="1"/>
    <x v="1"/>
    <x v="0"/>
    <x v="0"/>
    <x v="0"/>
    <x v="0"/>
    <x v="0"/>
    <x v="0"/>
    <m/>
    <x v="72"/>
  </r>
  <r>
    <s v="USR-100081"/>
    <d v="2025-05-08T00:00:00"/>
    <x v="0"/>
    <x v="3"/>
    <s v="Mobile"/>
    <x v="1"/>
    <x v="1"/>
    <x v="1"/>
    <x v="1"/>
    <x v="1"/>
    <x v="0"/>
    <x v="0"/>
    <x v="0"/>
    <x v="0"/>
    <m/>
    <x v="73"/>
  </r>
  <r>
    <s v="USR-100082"/>
    <d v="2025-03-08T00:00:00"/>
    <x v="0"/>
    <x v="3"/>
    <s v="Mobile"/>
    <x v="3"/>
    <x v="1"/>
    <x v="1"/>
    <x v="1"/>
    <x v="0"/>
    <x v="0"/>
    <x v="0"/>
    <x v="0"/>
    <x v="0"/>
    <m/>
    <x v="74"/>
  </r>
  <r>
    <s v="USR-100083"/>
    <d v="2025-04-01T00:00:00"/>
    <x v="0"/>
    <x v="3"/>
    <s v="Desktop"/>
    <x v="0"/>
    <x v="1"/>
    <x v="0"/>
    <x v="0"/>
    <x v="0"/>
    <x v="0"/>
    <x v="0"/>
    <x v="0"/>
    <x v="0"/>
    <m/>
    <x v="75"/>
  </r>
  <r>
    <s v="USR-100084"/>
    <d v="2025-03-03T00:00:00"/>
    <x v="0"/>
    <x v="1"/>
    <s v="Mobile"/>
    <x v="4"/>
    <x v="0"/>
    <x v="0"/>
    <x v="0"/>
    <x v="0"/>
    <x v="0"/>
    <x v="0"/>
    <x v="0"/>
    <x v="0"/>
    <m/>
    <x v="61"/>
  </r>
  <r>
    <s v="USR-100085"/>
    <d v="2025-04-16T00:00:00"/>
    <x v="0"/>
    <x v="3"/>
    <s v="Mobile"/>
    <x v="2"/>
    <x v="1"/>
    <x v="0"/>
    <x v="0"/>
    <x v="0"/>
    <x v="0"/>
    <x v="0"/>
    <x v="0"/>
    <x v="0"/>
    <m/>
    <x v="4"/>
  </r>
  <r>
    <s v="USR-100086"/>
    <d v="2025-01-09T00:00:00"/>
    <x v="0"/>
    <x v="0"/>
    <s v="Desktop"/>
    <x v="1"/>
    <x v="1"/>
    <x v="1"/>
    <x v="0"/>
    <x v="0"/>
    <x v="0"/>
    <x v="0"/>
    <x v="0"/>
    <x v="0"/>
    <m/>
    <x v="76"/>
  </r>
  <r>
    <s v="USR-100087"/>
    <d v="2025-01-22T00:00:00"/>
    <x v="0"/>
    <x v="1"/>
    <s v="Desktop"/>
    <x v="4"/>
    <x v="0"/>
    <x v="0"/>
    <x v="0"/>
    <x v="0"/>
    <x v="0"/>
    <x v="0"/>
    <x v="0"/>
    <x v="0"/>
    <m/>
    <x v="77"/>
  </r>
  <r>
    <s v="USR-100088"/>
    <d v="2025-04-30T00:00:00"/>
    <x v="0"/>
    <x v="3"/>
    <s v="Mobile"/>
    <x v="0"/>
    <x v="2"/>
    <x v="0"/>
    <x v="0"/>
    <x v="0"/>
    <x v="0"/>
    <x v="0"/>
    <x v="0"/>
    <x v="0"/>
    <m/>
    <x v="78"/>
  </r>
  <r>
    <s v="USR-100089"/>
    <d v="2025-04-25T00:00:00"/>
    <x v="0"/>
    <x v="0"/>
    <s v="Mobile"/>
    <x v="3"/>
    <x v="0"/>
    <x v="1"/>
    <x v="0"/>
    <x v="0"/>
    <x v="0"/>
    <x v="0"/>
    <x v="0"/>
    <x v="0"/>
    <m/>
    <x v="79"/>
  </r>
  <r>
    <s v="USR-100090"/>
    <d v="2025-02-01T00:00:00"/>
    <x v="0"/>
    <x v="0"/>
    <s v="Mobile"/>
    <x v="1"/>
    <x v="0"/>
    <x v="1"/>
    <x v="0"/>
    <x v="0"/>
    <x v="0"/>
    <x v="0"/>
    <x v="0"/>
    <x v="0"/>
    <m/>
    <x v="67"/>
  </r>
  <r>
    <s v="USR-100091"/>
    <d v="2025-04-23T00:00:00"/>
    <x v="0"/>
    <x v="3"/>
    <s v="Desktop"/>
    <x v="1"/>
    <x v="1"/>
    <x v="1"/>
    <x v="0"/>
    <x v="0"/>
    <x v="0"/>
    <x v="0"/>
    <x v="0"/>
    <x v="0"/>
    <m/>
    <x v="80"/>
  </r>
  <r>
    <s v="USR-100092"/>
    <d v="2025-02-27T00:00:00"/>
    <x v="0"/>
    <x v="3"/>
    <s v="Mobile"/>
    <x v="4"/>
    <x v="1"/>
    <x v="1"/>
    <x v="0"/>
    <x v="0"/>
    <x v="0"/>
    <x v="0"/>
    <x v="0"/>
    <x v="0"/>
    <m/>
    <x v="81"/>
  </r>
  <r>
    <s v="USR-100093"/>
    <d v="2025-04-09T00:00:00"/>
    <x v="0"/>
    <x v="2"/>
    <s v="Desktop"/>
    <x v="1"/>
    <x v="0"/>
    <x v="1"/>
    <x v="0"/>
    <x v="0"/>
    <x v="0"/>
    <x v="0"/>
    <x v="0"/>
    <x v="0"/>
    <m/>
    <x v="82"/>
  </r>
  <r>
    <s v="USR-100094"/>
    <d v="2025-05-13T00:00:00"/>
    <x v="0"/>
    <x v="3"/>
    <s v="Tablet"/>
    <x v="1"/>
    <x v="2"/>
    <x v="1"/>
    <x v="1"/>
    <x v="1"/>
    <x v="0"/>
    <x v="0"/>
    <x v="1"/>
    <x v="0"/>
    <m/>
    <x v="83"/>
  </r>
  <r>
    <s v="USR-100095"/>
    <d v="2025-04-13T00:00:00"/>
    <x v="0"/>
    <x v="2"/>
    <s v="Mobile"/>
    <x v="1"/>
    <x v="1"/>
    <x v="0"/>
    <x v="0"/>
    <x v="0"/>
    <x v="0"/>
    <x v="0"/>
    <x v="0"/>
    <x v="0"/>
    <m/>
    <x v="84"/>
  </r>
  <r>
    <s v="USR-100096"/>
    <d v="2025-02-05T00:00:00"/>
    <x v="0"/>
    <x v="2"/>
    <s v="Mobile"/>
    <x v="4"/>
    <x v="1"/>
    <x v="0"/>
    <x v="0"/>
    <x v="0"/>
    <x v="0"/>
    <x v="0"/>
    <x v="0"/>
    <x v="0"/>
    <m/>
    <x v="85"/>
  </r>
  <r>
    <s v="USR-100097"/>
    <d v="2025-02-14T00:00:00"/>
    <x v="0"/>
    <x v="1"/>
    <s v="Mobile"/>
    <x v="1"/>
    <x v="0"/>
    <x v="1"/>
    <x v="0"/>
    <x v="0"/>
    <x v="0"/>
    <x v="0"/>
    <x v="0"/>
    <x v="0"/>
    <m/>
    <x v="86"/>
  </r>
  <r>
    <s v="USR-100098"/>
    <d v="2025-02-11T00:00:00"/>
    <x v="0"/>
    <x v="0"/>
    <s v="Desktop"/>
    <x v="1"/>
    <x v="2"/>
    <x v="1"/>
    <x v="0"/>
    <x v="0"/>
    <x v="0"/>
    <x v="0"/>
    <x v="0"/>
    <x v="0"/>
    <m/>
    <x v="87"/>
  </r>
  <r>
    <s v="USR-100099"/>
    <d v="2025-02-11T00:00:00"/>
    <x v="0"/>
    <x v="2"/>
    <s v="Desktop"/>
    <x v="4"/>
    <x v="1"/>
    <x v="1"/>
    <x v="1"/>
    <x v="1"/>
    <x v="1"/>
    <x v="3"/>
    <x v="0"/>
    <x v="0"/>
    <n v="9"/>
    <x v="88"/>
  </r>
  <r>
    <s v="USR-100100"/>
    <d v="2025-05-26T00:00:00"/>
    <x v="0"/>
    <x v="0"/>
    <s v="Mobile"/>
    <x v="1"/>
    <x v="1"/>
    <x v="1"/>
    <x v="0"/>
    <x v="0"/>
    <x v="0"/>
    <x v="0"/>
    <x v="0"/>
    <x v="0"/>
    <m/>
    <x v="89"/>
  </r>
  <r>
    <s v="USR-100101"/>
    <d v="2025-03-22T00:00:00"/>
    <x v="0"/>
    <x v="0"/>
    <s v="Mobile"/>
    <x v="2"/>
    <x v="0"/>
    <x v="1"/>
    <x v="0"/>
    <x v="0"/>
    <x v="0"/>
    <x v="0"/>
    <x v="0"/>
    <x v="0"/>
    <m/>
    <x v="39"/>
  </r>
  <r>
    <s v="USR-100102"/>
    <d v="2025-04-08T00:00:00"/>
    <x v="0"/>
    <x v="1"/>
    <s v="Mobile"/>
    <x v="2"/>
    <x v="1"/>
    <x v="1"/>
    <x v="0"/>
    <x v="0"/>
    <x v="0"/>
    <x v="0"/>
    <x v="0"/>
    <x v="0"/>
    <m/>
    <x v="90"/>
  </r>
  <r>
    <s v="USR-100103"/>
    <d v="2025-04-14T00:00:00"/>
    <x v="0"/>
    <x v="0"/>
    <s v="Desktop"/>
    <x v="4"/>
    <x v="1"/>
    <x v="1"/>
    <x v="1"/>
    <x v="1"/>
    <x v="1"/>
    <x v="4"/>
    <x v="0"/>
    <x v="0"/>
    <n v="13"/>
    <x v="91"/>
  </r>
  <r>
    <s v="USR-100104"/>
    <d v="2025-03-27T00:00:00"/>
    <x v="0"/>
    <x v="3"/>
    <s v="Mobile"/>
    <x v="0"/>
    <x v="1"/>
    <x v="1"/>
    <x v="0"/>
    <x v="0"/>
    <x v="0"/>
    <x v="0"/>
    <x v="1"/>
    <x v="0"/>
    <m/>
    <x v="92"/>
  </r>
  <r>
    <s v="USR-100105"/>
    <d v="2025-01-05T00:00:00"/>
    <x v="0"/>
    <x v="3"/>
    <s v="Mobile"/>
    <x v="4"/>
    <x v="1"/>
    <x v="1"/>
    <x v="1"/>
    <x v="1"/>
    <x v="0"/>
    <x v="0"/>
    <x v="0"/>
    <x v="0"/>
    <m/>
    <x v="93"/>
  </r>
  <r>
    <s v="USR-100106"/>
    <d v="2025-01-25T00:00:00"/>
    <x v="0"/>
    <x v="3"/>
    <s v="Mobile"/>
    <x v="4"/>
    <x v="0"/>
    <x v="1"/>
    <x v="1"/>
    <x v="1"/>
    <x v="1"/>
    <x v="5"/>
    <x v="0"/>
    <x v="0"/>
    <n v="6"/>
    <x v="94"/>
  </r>
  <r>
    <s v="USR-100107"/>
    <d v="2025-01-23T00:00:00"/>
    <x v="0"/>
    <x v="1"/>
    <s v="Mobile"/>
    <x v="0"/>
    <x v="1"/>
    <x v="1"/>
    <x v="1"/>
    <x v="1"/>
    <x v="0"/>
    <x v="0"/>
    <x v="4"/>
    <x v="0"/>
    <m/>
    <x v="95"/>
  </r>
  <r>
    <s v="USR-100108"/>
    <d v="2025-05-25T00:00:00"/>
    <x v="0"/>
    <x v="2"/>
    <s v="Desktop"/>
    <x v="3"/>
    <x v="1"/>
    <x v="1"/>
    <x v="0"/>
    <x v="0"/>
    <x v="0"/>
    <x v="0"/>
    <x v="0"/>
    <x v="0"/>
    <m/>
    <x v="96"/>
  </r>
  <r>
    <s v="USR-100109"/>
    <d v="2025-03-22T00:00:00"/>
    <x v="0"/>
    <x v="3"/>
    <s v="Mobile"/>
    <x v="3"/>
    <x v="0"/>
    <x v="0"/>
    <x v="0"/>
    <x v="0"/>
    <x v="0"/>
    <x v="0"/>
    <x v="0"/>
    <x v="0"/>
    <m/>
    <x v="97"/>
  </r>
  <r>
    <s v="USR-100110"/>
    <d v="2025-02-12T00:00:00"/>
    <x v="0"/>
    <x v="1"/>
    <s v="Desktop"/>
    <x v="2"/>
    <x v="0"/>
    <x v="1"/>
    <x v="0"/>
    <x v="0"/>
    <x v="0"/>
    <x v="0"/>
    <x v="1"/>
    <x v="0"/>
    <m/>
    <x v="98"/>
  </r>
  <r>
    <s v="USR-100111"/>
    <d v="2025-04-28T00:00:00"/>
    <x v="0"/>
    <x v="1"/>
    <s v="Desktop"/>
    <x v="1"/>
    <x v="0"/>
    <x v="1"/>
    <x v="0"/>
    <x v="0"/>
    <x v="0"/>
    <x v="0"/>
    <x v="0"/>
    <x v="0"/>
    <m/>
    <x v="99"/>
  </r>
  <r>
    <s v="USR-100112"/>
    <d v="2025-01-30T00:00:00"/>
    <x v="0"/>
    <x v="0"/>
    <s v="Mobile"/>
    <x v="1"/>
    <x v="0"/>
    <x v="1"/>
    <x v="0"/>
    <x v="0"/>
    <x v="0"/>
    <x v="0"/>
    <x v="0"/>
    <x v="0"/>
    <m/>
    <x v="40"/>
  </r>
  <r>
    <s v="USR-100113"/>
    <d v="2025-05-19T00:00:00"/>
    <x v="0"/>
    <x v="2"/>
    <s v="Tablet"/>
    <x v="2"/>
    <x v="1"/>
    <x v="0"/>
    <x v="0"/>
    <x v="0"/>
    <x v="0"/>
    <x v="0"/>
    <x v="0"/>
    <x v="0"/>
    <m/>
    <x v="53"/>
  </r>
  <r>
    <s v="USR-100114"/>
    <d v="2025-01-23T00:00:00"/>
    <x v="0"/>
    <x v="3"/>
    <s v="Mobile"/>
    <x v="4"/>
    <x v="1"/>
    <x v="1"/>
    <x v="1"/>
    <x v="0"/>
    <x v="0"/>
    <x v="0"/>
    <x v="0"/>
    <x v="0"/>
    <m/>
    <x v="100"/>
  </r>
  <r>
    <s v="USR-100115"/>
    <d v="2025-03-28T00:00:00"/>
    <x v="0"/>
    <x v="2"/>
    <s v="Desktop"/>
    <x v="4"/>
    <x v="1"/>
    <x v="1"/>
    <x v="0"/>
    <x v="0"/>
    <x v="0"/>
    <x v="0"/>
    <x v="0"/>
    <x v="0"/>
    <m/>
    <x v="87"/>
  </r>
  <r>
    <s v="USR-100116"/>
    <d v="2025-01-11T00:00:00"/>
    <x v="0"/>
    <x v="1"/>
    <s v="Mobile"/>
    <x v="1"/>
    <x v="1"/>
    <x v="0"/>
    <x v="0"/>
    <x v="0"/>
    <x v="0"/>
    <x v="0"/>
    <x v="0"/>
    <x v="0"/>
    <m/>
    <x v="16"/>
  </r>
  <r>
    <s v="USR-100117"/>
    <d v="2025-04-11T00:00:00"/>
    <x v="0"/>
    <x v="0"/>
    <s v="Mobile"/>
    <x v="3"/>
    <x v="1"/>
    <x v="0"/>
    <x v="0"/>
    <x v="0"/>
    <x v="0"/>
    <x v="0"/>
    <x v="0"/>
    <x v="0"/>
    <m/>
    <x v="20"/>
  </r>
  <r>
    <s v="USR-100118"/>
    <d v="2025-01-02T00:00:00"/>
    <x v="0"/>
    <x v="1"/>
    <s v="Mobile"/>
    <x v="2"/>
    <x v="1"/>
    <x v="1"/>
    <x v="0"/>
    <x v="0"/>
    <x v="0"/>
    <x v="0"/>
    <x v="0"/>
    <x v="0"/>
    <m/>
    <x v="39"/>
  </r>
  <r>
    <s v="USR-100119"/>
    <d v="2025-03-18T00:00:00"/>
    <x v="0"/>
    <x v="2"/>
    <s v="Mobile"/>
    <x v="4"/>
    <x v="1"/>
    <x v="1"/>
    <x v="1"/>
    <x v="1"/>
    <x v="0"/>
    <x v="0"/>
    <x v="0"/>
    <x v="0"/>
    <m/>
    <x v="101"/>
  </r>
  <r>
    <s v="USR-100120"/>
    <d v="2025-03-31T00:00:00"/>
    <x v="0"/>
    <x v="0"/>
    <s v="Mobile"/>
    <x v="0"/>
    <x v="1"/>
    <x v="1"/>
    <x v="0"/>
    <x v="0"/>
    <x v="0"/>
    <x v="0"/>
    <x v="0"/>
    <x v="0"/>
    <m/>
    <x v="102"/>
  </r>
  <r>
    <s v="USR-100121"/>
    <d v="2025-01-06T00:00:00"/>
    <x v="0"/>
    <x v="0"/>
    <s v="Mobile"/>
    <x v="2"/>
    <x v="0"/>
    <x v="1"/>
    <x v="0"/>
    <x v="0"/>
    <x v="0"/>
    <x v="0"/>
    <x v="0"/>
    <x v="0"/>
    <m/>
    <x v="103"/>
  </r>
  <r>
    <s v="USR-100122"/>
    <d v="2025-01-26T00:00:00"/>
    <x v="0"/>
    <x v="0"/>
    <s v="Mobile"/>
    <x v="3"/>
    <x v="1"/>
    <x v="1"/>
    <x v="1"/>
    <x v="0"/>
    <x v="0"/>
    <x v="0"/>
    <x v="0"/>
    <x v="0"/>
    <m/>
    <x v="104"/>
  </r>
  <r>
    <s v="USR-100123"/>
    <d v="2025-04-22T00:00:00"/>
    <x v="0"/>
    <x v="3"/>
    <s v="Mobile"/>
    <x v="3"/>
    <x v="0"/>
    <x v="0"/>
    <x v="0"/>
    <x v="0"/>
    <x v="0"/>
    <x v="0"/>
    <x v="0"/>
    <x v="0"/>
    <m/>
    <x v="105"/>
  </r>
  <r>
    <s v="USR-100124"/>
    <d v="2025-05-30T00:00:00"/>
    <x v="0"/>
    <x v="1"/>
    <s v="Unknown"/>
    <x v="0"/>
    <x v="0"/>
    <x v="1"/>
    <x v="1"/>
    <x v="0"/>
    <x v="0"/>
    <x v="0"/>
    <x v="0"/>
    <x v="0"/>
    <m/>
    <x v="106"/>
  </r>
  <r>
    <s v="USR-100125"/>
    <d v="2025-05-18T00:00:00"/>
    <x v="0"/>
    <x v="1"/>
    <s v="Desktop"/>
    <x v="1"/>
    <x v="2"/>
    <x v="1"/>
    <x v="0"/>
    <x v="0"/>
    <x v="0"/>
    <x v="0"/>
    <x v="0"/>
    <x v="0"/>
    <m/>
    <x v="107"/>
  </r>
  <r>
    <s v="USR-100126"/>
    <d v="2025-01-13T00:00:00"/>
    <x v="0"/>
    <x v="3"/>
    <s v="Desktop"/>
    <x v="2"/>
    <x v="2"/>
    <x v="1"/>
    <x v="0"/>
    <x v="0"/>
    <x v="0"/>
    <x v="0"/>
    <x v="0"/>
    <x v="0"/>
    <m/>
    <x v="108"/>
  </r>
  <r>
    <s v="USR-100127"/>
    <d v="2025-03-25T00:00:00"/>
    <x v="0"/>
    <x v="0"/>
    <s v="Desktop"/>
    <x v="0"/>
    <x v="1"/>
    <x v="0"/>
    <x v="0"/>
    <x v="0"/>
    <x v="0"/>
    <x v="0"/>
    <x v="0"/>
    <x v="0"/>
    <m/>
    <x v="75"/>
  </r>
  <r>
    <s v="USR-100128"/>
    <d v="2025-04-29T00:00:00"/>
    <x v="0"/>
    <x v="3"/>
    <s v="Desktop"/>
    <x v="1"/>
    <x v="1"/>
    <x v="1"/>
    <x v="1"/>
    <x v="1"/>
    <x v="0"/>
    <x v="0"/>
    <x v="0"/>
    <x v="0"/>
    <m/>
    <x v="32"/>
  </r>
  <r>
    <s v="USR-100129"/>
    <d v="2025-05-17T00:00:00"/>
    <x v="0"/>
    <x v="2"/>
    <s v="Mobile"/>
    <x v="3"/>
    <x v="0"/>
    <x v="1"/>
    <x v="1"/>
    <x v="1"/>
    <x v="0"/>
    <x v="0"/>
    <x v="0"/>
    <x v="0"/>
    <m/>
    <x v="109"/>
  </r>
  <r>
    <s v="USR-100130"/>
    <d v="2025-01-02T00:00:00"/>
    <x v="0"/>
    <x v="0"/>
    <s v="Mobile"/>
    <x v="2"/>
    <x v="1"/>
    <x v="1"/>
    <x v="0"/>
    <x v="0"/>
    <x v="0"/>
    <x v="0"/>
    <x v="1"/>
    <x v="0"/>
    <m/>
    <x v="110"/>
  </r>
  <r>
    <s v="USR-100131"/>
    <d v="2025-02-03T00:00:00"/>
    <x v="0"/>
    <x v="3"/>
    <s v="Mobile"/>
    <x v="1"/>
    <x v="1"/>
    <x v="0"/>
    <x v="0"/>
    <x v="0"/>
    <x v="0"/>
    <x v="0"/>
    <x v="0"/>
    <x v="0"/>
    <m/>
    <x v="111"/>
  </r>
  <r>
    <s v="USR-100132"/>
    <d v="2025-03-04T00:00:00"/>
    <x v="0"/>
    <x v="2"/>
    <s v="Mobile"/>
    <x v="1"/>
    <x v="1"/>
    <x v="1"/>
    <x v="0"/>
    <x v="0"/>
    <x v="0"/>
    <x v="0"/>
    <x v="0"/>
    <x v="0"/>
    <m/>
    <x v="112"/>
  </r>
  <r>
    <s v="USR-100133"/>
    <d v="2025-01-26T00:00:00"/>
    <x v="0"/>
    <x v="3"/>
    <s v="Mobile"/>
    <x v="2"/>
    <x v="0"/>
    <x v="0"/>
    <x v="0"/>
    <x v="0"/>
    <x v="0"/>
    <x v="0"/>
    <x v="0"/>
    <x v="0"/>
    <m/>
    <x v="113"/>
  </r>
  <r>
    <s v="USR-100134"/>
    <d v="2025-05-12T00:00:00"/>
    <x v="0"/>
    <x v="1"/>
    <s v="Mobile"/>
    <x v="2"/>
    <x v="0"/>
    <x v="1"/>
    <x v="1"/>
    <x v="1"/>
    <x v="0"/>
    <x v="0"/>
    <x v="0"/>
    <x v="0"/>
    <m/>
    <x v="114"/>
  </r>
  <r>
    <s v="USR-100135"/>
    <d v="2025-03-06T00:00:00"/>
    <x v="0"/>
    <x v="0"/>
    <s v="Mobile"/>
    <x v="1"/>
    <x v="0"/>
    <x v="0"/>
    <x v="0"/>
    <x v="0"/>
    <x v="0"/>
    <x v="0"/>
    <x v="0"/>
    <x v="0"/>
    <m/>
    <x v="115"/>
  </r>
  <r>
    <s v="USR-100136"/>
    <d v="2025-03-10T00:00:00"/>
    <x v="0"/>
    <x v="3"/>
    <s v="Desktop"/>
    <x v="0"/>
    <x v="2"/>
    <x v="0"/>
    <x v="0"/>
    <x v="0"/>
    <x v="0"/>
    <x v="0"/>
    <x v="0"/>
    <x v="0"/>
    <m/>
    <x v="0"/>
  </r>
  <r>
    <s v="USR-100137"/>
    <d v="2025-05-06T00:00:00"/>
    <x v="0"/>
    <x v="0"/>
    <s v="Mobile"/>
    <x v="2"/>
    <x v="1"/>
    <x v="0"/>
    <x v="0"/>
    <x v="0"/>
    <x v="0"/>
    <x v="0"/>
    <x v="3"/>
    <x v="0"/>
    <m/>
    <x v="116"/>
  </r>
  <r>
    <s v="USR-100138"/>
    <d v="2025-02-23T00:00:00"/>
    <x v="0"/>
    <x v="3"/>
    <s v="Desktop"/>
    <x v="2"/>
    <x v="1"/>
    <x v="1"/>
    <x v="0"/>
    <x v="0"/>
    <x v="0"/>
    <x v="0"/>
    <x v="0"/>
    <x v="0"/>
    <m/>
    <x v="117"/>
  </r>
  <r>
    <s v="USR-100139"/>
    <d v="2025-01-29T00:00:00"/>
    <x v="0"/>
    <x v="1"/>
    <s v="Mobile"/>
    <x v="4"/>
    <x v="0"/>
    <x v="1"/>
    <x v="1"/>
    <x v="1"/>
    <x v="0"/>
    <x v="0"/>
    <x v="0"/>
    <x v="0"/>
    <m/>
    <x v="118"/>
  </r>
  <r>
    <s v="USR-100140"/>
    <d v="2025-01-31T00:00:00"/>
    <x v="0"/>
    <x v="0"/>
    <s v="Mobile"/>
    <x v="1"/>
    <x v="0"/>
    <x v="0"/>
    <x v="0"/>
    <x v="0"/>
    <x v="0"/>
    <x v="0"/>
    <x v="0"/>
    <x v="0"/>
    <m/>
    <x v="12"/>
  </r>
  <r>
    <s v="USR-100141"/>
    <d v="2025-01-19T00:00:00"/>
    <x v="0"/>
    <x v="3"/>
    <s v="Mobile"/>
    <x v="1"/>
    <x v="1"/>
    <x v="0"/>
    <x v="0"/>
    <x v="0"/>
    <x v="0"/>
    <x v="0"/>
    <x v="0"/>
    <x v="0"/>
    <m/>
    <x v="51"/>
  </r>
  <r>
    <s v="USR-100142"/>
    <d v="2025-04-03T00:00:00"/>
    <x v="0"/>
    <x v="1"/>
    <s v="Desktop"/>
    <x v="4"/>
    <x v="1"/>
    <x v="1"/>
    <x v="1"/>
    <x v="1"/>
    <x v="1"/>
    <x v="6"/>
    <x v="0"/>
    <x v="0"/>
    <n v="9"/>
    <x v="119"/>
  </r>
  <r>
    <s v="USR-100143"/>
    <d v="2025-04-07T00:00:00"/>
    <x v="0"/>
    <x v="0"/>
    <s v="Mobile"/>
    <x v="2"/>
    <x v="1"/>
    <x v="1"/>
    <x v="0"/>
    <x v="0"/>
    <x v="0"/>
    <x v="0"/>
    <x v="0"/>
    <x v="0"/>
    <m/>
    <x v="106"/>
  </r>
  <r>
    <s v="USR-100144"/>
    <d v="2025-01-06T00:00:00"/>
    <x v="0"/>
    <x v="2"/>
    <s v="Mobile"/>
    <x v="2"/>
    <x v="0"/>
    <x v="1"/>
    <x v="1"/>
    <x v="0"/>
    <x v="0"/>
    <x v="0"/>
    <x v="0"/>
    <x v="0"/>
    <m/>
    <x v="120"/>
  </r>
  <r>
    <s v="USR-100145"/>
    <d v="2025-04-11T00:00:00"/>
    <x v="0"/>
    <x v="2"/>
    <s v="Mobile"/>
    <x v="1"/>
    <x v="1"/>
    <x v="1"/>
    <x v="0"/>
    <x v="0"/>
    <x v="0"/>
    <x v="0"/>
    <x v="1"/>
    <x v="0"/>
    <m/>
    <x v="121"/>
  </r>
  <r>
    <s v="USR-100146"/>
    <d v="2025-04-23T00:00:00"/>
    <x v="0"/>
    <x v="2"/>
    <s v="Mobile"/>
    <x v="2"/>
    <x v="1"/>
    <x v="1"/>
    <x v="0"/>
    <x v="0"/>
    <x v="0"/>
    <x v="0"/>
    <x v="0"/>
    <x v="0"/>
    <m/>
    <x v="122"/>
  </r>
  <r>
    <s v="USR-100147"/>
    <d v="2025-03-25T00:00:00"/>
    <x v="0"/>
    <x v="1"/>
    <s v="Mobile"/>
    <x v="1"/>
    <x v="0"/>
    <x v="1"/>
    <x v="1"/>
    <x v="0"/>
    <x v="0"/>
    <x v="0"/>
    <x v="0"/>
    <x v="0"/>
    <m/>
    <x v="123"/>
  </r>
  <r>
    <s v="USR-100148"/>
    <d v="2025-05-25T00:00:00"/>
    <x v="0"/>
    <x v="3"/>
    <s v="Desktop"/>
    <x v="1"/>
    <x v="0"/>
    <x v="1"/>
    <x v="0"/>
    <x v="0"/>
    <x v="0"/>
    <x v="0"/>
    <x v="0"/>
    <x v="0"/>
    <m/>
    <x v="10"/>
  </r>
  <r>
    <s v="USR-100149"/>
    <d v="2025-01-28T00:00:00"/>
    <x v="0"/>
    <x v="0"/>
    <s v="Mobile"/>
    <x v="1"/>
    <x v="1"/>
    <x v="1"/>
    <x v="1"/>
    <x v="1"/>
    <x v="1"/>
    <x v="7"/>
    <x v="0"/>
    <x v="0"/>
    <n v="9"/>
    <x v="124"/>
  </r>
  <r>
    <s v="USR-100150"/>
    <d v="2025-02-12T00:00:00"/>
    <x v="0"/>
    <x v="1"/>
    <s v="Mobile"/>
    <x v="2"/>
    <x v="2"/>
    <x v="0"/>
    <x v="0"/>
    <x v="0"/>
    <x v="0"/>
    <x v="0"/>
    <x v="1"/>
    <x v="0"/>
    <m/>
    <x v="31"/>
  </r>
  <r>
    <s v="USR-100151"/>
    <d v="2025-04-29T00:00:00"/>
    <x v="0"/>
    <x v="0"/>
    <s v="Mobile"/>
    <x v="4"/>
    <x v="2"/>
    <x v="1"/>
    <x v="0"/>
    <x v="0"/>
    <x v="0"/>
    <x v="0"/>
    <x v="0"/>
    <x v="0"/>
    <m/>
    <x v="125"/>
  </r>
  <r>
    <s v="USR-100152"/>
    <d v="2025-03-13T00:00:00"/>
    <x v="0"/>
    <x v="3"/>
    <s v="Mobile"/>
    <x v="0"/>
    <x v="1"/>
    <x v="1"/>
    <x v="0"/>
    <x v="0"/>
    <x v="0"/>
    <x v="0"/>
    <x v="0"/>
    <x v="0"/>
    <m/>
    <x v="126"/>
  </r>
  <r>
    <s v="USR-100153"/>
    <d v="2025-02-04T00:00:00"/>
    <x v="0"/>
    <x v="2"/>
    <s v="Desktop"/>
    <x v="2"/>
    <x v="1"/>
    <x v="1"/>
    <x v="0"/>
    <x v="0"/>
    <x v="0"/>
    <x v="0"/>
    <x v="0"/>
    <x v="0"/>
    <m/>
    <x v="127"/>
  </r>
  <r>
    <s v="USR-100154"/>
    <d v="2025-03-04T00:00:00"/>
    <x v="0"/>
    <x v="3"/>
    <s v="Mobile"/>
    <x v="3"/>
    <x v="1"/>
    <x v="1"/>
    <x v="1"/>
    <x v="0"/>
    <x v="0"/>
    <x v="0"/>
    <x v="0"/>
    <x v="0"/>
    <m/>
    <x v="103"/>
  </r>
  <r>
    <s v="USR-100155"/>
    <d v="2025-02-04T00:00:00"/>
    <x v="0"/>
    <x v="1"/>
    <s v="Mobile"/>
    <x v="2"/>
    <x v="0"/>
    <x v="1"/>
    <x v="1"/>
    <x v="0"/>
    <x v="0"/>
    <x v="0"/>
    <x v="0"/>
    <x v="0"/>
    <m/>
    <x v="128"/>
  </r>
  <r>
    <s v="USR-100156"/>
    <d v="2025-03-11T00:00:00"/>
    <x v="0"/>
    <x v="0"/>
    <s v="Desktop"/>
    <x v="1"/>
    <x v="1"/>
    <x v="0"/>
    <x v="0"/>
    <x v="0"/>
    <x v="0"/>
    <x v="0"/>
    <x v="0"/>
    <x v="0"/>
    <m/>
    <x v="129"/>
  </r>
  <r>
    <s v="USR-100157"/>
    <d v="2025-04-22T00:00:00"/>
    <x v="0"/>
    <x v="1"/>
    <s v="Mobile"/>
    <x v="1"/>
    <x v="1"/>
    <x v="0"/>
    <x v="0"/>
    <x v="0"/>
    <x v="0"/>
    <x v="0"/>
    <x v="0"/>
    <x v="0"/>
    <m/>
    <x v="130"/>
  </r>
  <r>
    <s v="USR-100158"/>
    <d v="2025-03-08T00:00:00"/>
    <x v="0"/>
    <x v="0"/>
    <s v="Desktop"/>
    <x v="2"/>
    <x v="1"/>
    <x v="0"/>
    <x v="0"/>
    <x v="0"/>
    <x v="0"/>
    <x v="0"/>
    <x v="0"/>
    <x v="0"/>
    <m/>
    <x v="131"/>
  </r>
  <r>
    <s v="USR-100159"/>
    <d v="2025-03-10T00:00:00"/>
    <x v="0"/>
    <x v="2"/>
    <s v="Mobile"/>
    <x v="1"/>
    <x v="1"/>
    <x v="0"/>
    <x v="0"/>
    <x v="0"/>
    <x v="0"/>
    <x v="0"/>
    <x v="2"/>
    <x v="0"/>
    <m/>
    <x v="132"/>
  </r>
  <r>
    <s v="USR-100160"/>
    <d v="2025-05-18T00:00:00"/>
    <x v="0"/>
    <x v="0"/>
    <s v="Desktop"/>
    <x v="2"/>
    <x v="0"/>
    <x v="0"/>
    <x v="0"/>
    <x v="0"/>
    <x v="0"/>
    <x v="0"/>
    <x v="0"/>
    <x v="0"/>
    <m/>
    <x v="133"/>
  </r>
  <r>
    <s v="USR-100161"/>
    <d v="2025-05-14T00:00:00"/>
    <x v="0"/>
    <x v="0"/>
    <s v="Mobile"/>
    <x v="4"/>
    <x v="0"/>
    <x v="0"/>
    <x v="0"/>
    <x v="0"/>
    <x v="0"/>
    <x v="0"/>
    <x v="0"/>
    <x v="0"/>
    <m/>
    <x v="134"/>
  </r>
  <r>
    <s v="USR-100162"/>
    <d v="2025-02-01T00:00:00"/>
    <x v="0"/>
    <x v="0"/>
    <s v="Mobile"/>
    <x v="1"/>
    <x v="1"/>
    <x v="0"/>
    <x v="0"/>
    <x v="0"/>
    <x v="0"/>
    <x v="0"/>
    <x v="0"/>
    <x v="0"/>
    <m/>
    <x v="103"/>
  </r>
  <r>
    <s v="USR-100163"/>
    <d v="2025-04-11T00:00:00"/>
    <x v="0"/>
    <x v="3"/>
    <s v="Mobile"/>
    <x v="1"/>
    <x v="0"/>
    <x v="0"/>
    <x v="0"/>
    <x v="0"/>
    <x v="0"/>
    <x v="0"/>
    <x v="1"/>
    <x v="0"/>
    <m/>
    <x v="135"/>
  </r>
  <r>
    <s v="USR-100164"/>
    <d v="2025-02-14T00:00:00"/>
    <x v="0"/>
    <x v="2"/>
    <s v="Mobile"/>
    <x v="1"/>
    <x v="1"/>
    <x v="0"/>
    <x v="0"/>
    <x v="0"/>
    <x v="0"/>
    <x v="0"/>
    <x v="0"/>
    <x v="0"/>
    <m/>
    <x v="136"/>
  </r>
  <r>
    <s v="USR-100165"/>
    <d v="2025-05-19T00:00:00"/>
    <x v="0"/>
    <x v="2"/>
    <s v="Mobile"/>
    <x v="4"/>
    <x v="1"/>
    <x v="1"/>
    <x v="0"/>
    <x v="0"/>
    <x v="0"/>
    <x v="0"/>
    <x v="0"/>
    <x v="0"/>
    <m/>
    <x v="137"/>
  </r>
  <r>
    <s v="USR-100166"/>
    <d v="2025-04-26T00:00:00"/>
    <x v="0"/>
    <x v="0"/>
    <s v="Desktop"/>
    <x v="2"/>
    <x v="0"/>
    <x v="1"/>
    <x v="1"/>
    <x v="1"/>
    <x v="1"/>
    <x v="8"/>
    <x v="1"/>
    <x v="0"/>
    <n v="9"/>
    <x v="114"/>
  </r>
  <r>
    <s v="USR-100167"/>
    <d v="2025-04-06T00:00:00"/>
    <x v="0"/>
    <x v="3"/>
    <s v="Mobile"/>
    <x v="4"/>
    <x v="1"/>
    <x v="1"/>
    <x v="0"/>
    <x v="0"/>
    <x v="0"/>
    <x v="0"/>
    <x v="0"/>
    <x v="0"/>
    <m/>
    <x v="138"/>
  </r>
  <r>
    <s v="USR-100168"/>
    <d v="2025-03-06T00:00:00"/>
    <x v="0"/>
    <x v="3"/>
    <s v="Mobile"/>
    <x v="2"/>
    <x v="1"/>
    <x v="1"/>
    <x v="0"/>
    <x v="0"/>
    <x v="0"/>
    <x v="0"/>
    <x v="1"/>
    <x v="0"/>
    <m/>
    <x v="103"/>
  </r>
  <r>
    <s v="USR-100169"/>
    <d v="2025-03-10T00:00:00"/>
    <x v="0"/>
    <x v="1"/>
    <s v="Mobile"/>
    <x v="4"/>
    <x v="0"/>
    <x v="0"/>
    <x v="0"/>
    <x v="0"/>
    <x v="0"/>
    <x v="0"/>
    <x v="0"/>
    <x v="0"/>
    <m/>
    <x v="67"/>
  </r>
  <r>
    <s v="USR-100170"/>
    <d v="2025-03-30T00:00:00"/>
    <x v="0"/>
    <x v="0"/>
    <s v="Mobile"/>
    <x v="1"/>
    <x v="1"/>
    <x v="1"/>
    <x v="0"/>
    <x v="0"/>
    <x v="0"/>
    <x v="0"/>
    <x v="0"/>
    <x v="0"/>
    <m/>
    <x v="139"/>
  </r>
  <r>
    <s v="USR-100171"/>
    <d v="2025-05-29T00:00:00"/>
    <x v="0"/>
    <x v="2"/>
    <s v="Unknown"/>
    <x v="2"/>
    <x v="1"/>
    <x v="1"/>
    <x v="1"/>
    <x v="1"/>
    <x v="0"/>
    <x v="0"/>
    <x v="0"/>
    <x v="0"/>
    <m/>
    <x v="140"/>
  </r>
  <r>
    <s v="USR-100172"/>
    <d v="2025-03-23T00:00:00"/>
    <x v="0"/>
    <x v="0"/>
    <s v="Mobile"/>
    <x v="1"/>
    <x v="1"/>
    <x v="1"/>
    <x v="0"/>
    <x v="0"/>
    <x v="0"/>
    <x v="0"/>
    <x v="0"/>
    <x v="0"/>
    <m/>
    <x v="141"/>
  </r>
  <r>
    <s v="USR-100173"/>
    <d v="2025-02-18T00:00:00"/>
    <x v="0"/>
    <x v="0"/>
    <s v="Tablet"/>
    <x v="1"/>
    <x v="0"/>
    <x v="0"/>
    <x v="0"/>
    <x v="0"/>
    <x v="0"/>
    <x v="0"/>
    <x v="1"/>
    <x v="0"/>
    <m/>
    <x v="142"/>
  </r>
  <r>
    <s v="USR-100174"/>
    <d v="2025-01-26T00:00:00"/>
    <x v="0"/>
    <x v="0"/>
    <s v="Desktop"/>
    <x v="0"/>
    <x v="1"/>
    <x v="1"/>
    <x v="0"/>
    <x v="0"/>
    <x v="0"/>
    <x v="0"/>
    <x v="2"/>
    <x v="0"/>
    <m/>
    <x v="143"/>
  </r>
  <r>
    <s v="USR-100175"/>
    <d v="2025-04-23T00:00:00"/>
    <x v="0"/>
    <x v="2"/>
    <s v="Mobile"/>
    <x v="4"/>
    <x v="0"/>
    <x v="0"/>
    <x v="0"/>
    <x v="0"/>
    <x v="0"/>
    <x v="0"/>
    <x v="0"/>
    <x v="0"/>
    <m/>
    <x v="144"/>
  </r>
  <r>
    <s v="USR-100176"/>
    <d v="2025-03-16T00:00:00"/>
    <x v="0"/>
    <x v="3"/>
    <s v="Tablet"/>
    <x v="3"/>
    <x v="0"/>
    <x v="1"/>
    <x v="0"/>
    <x v="0"/>
    <x v="0"/>
    <x v="0"/>
    <x v="0"/>
    <x v="0"/>
    <m/>
    <x v="145"/>
  </r>
  <r>
    <s v="USR-100177"/>
    <d v="2025-04-29T00:00:00"/>
    <x v="0"/>
    <x v="1"/>
    <s v="Mobile"/>
    <x v="1"/>
    <x v="0"/>
    <x v="1"/>
    <x v="0"/>
    <x v="0"/>
    <x v="0"/>
    <x v="0"/>
    <x v="0"/>
    <x v="0"/>
    <m/>
    <x v="146"/>
  </r>
  <r>
    <s v="USR-100178"/>
    <d v="2025-04-06T00:00:00"/>
    <x v="0"/>
    <x v="0"/>
    <s v="Mobile"/>
    <x v="1"/>
    <x v="1"/>
    <x v="0"/>
    <x v="0"/>
    <x v="0"/>
    <x v="0"/>
    <x v="0"/>
    <x v="0"/>
    <x v="0"/>
    <m/>
    <x v="119"/>
  </r>
  <r>
    <s v="USR-100179"/>
    <d v="2025-04-17T00:00:00"/>
    <x v="0"/>
    <x v="0"/>
    <s v="Desktop"/>
    <x v="3"/>
    <x v="2"/>
    <x v="1"/>
    <x v="1"/>
    <x v="1"/>
    <x v="0"/>
    <x v="0"/>
    <x v="0"/>
    <x v="0"/>
    <m/>
    <x v="147"/>
  </r>
  <r>
    <s v="USR-100180"/>
    <d v="2025-04-03T00:00:00"/>
    <x v="0"/>
    <x v="3"/>
    <s v="Mobile"/>
    <x v="2"/>
    <x v="1"/>
    <x v="1"/>
    <x v="0"/>
    <x v="0"/>
    <x v="0"/>
    <x v="0"/>
    <x v="0"/>
    <x v="0"/>
    <m/>
    <x v="148"/>
  </r>
  <r>
    <s v="USR-100181"/>
    <d v="2025-04-25T00:00:00"/>
    <x v="0"/>
    <x v="1"/>
    <s v="Mobile"/>
    <x v="2"/>
    <x v="1"/>
    <x v="0"/>
    <x v="0"/>
    <x v="0"/>
    <x v="0"/>
    <x v="0"/>
    <x v="0"/>
    <x v="0"/>
    <m/>
    <x v="149"/>
  </r>
  <r>
    <s v="USR-100182"/>
    <d v="2025-04-30T00:00:00"/>
    <x v="0"/>
    <x v="3"/>
    <s v="Mobile"/>
    <x v="1"/>
    <x v="2"/>
    <x v="0"/>
    <x v="0"/>
    <x v="0"/>
    <x v="0"/>
    <x v="0"/>
    <x v="0"/>
    <x v="0"/>
    <m/>
    <x v="150"/>
  </r>
  <r>
    <s v="USR-100183"/>
    <d v="2025-03-12T00:00:00"/>
    <x v="0"/>
    <x v="3"/>
    <s v="Mobile"/>
    <x v="2"/>
    <x v="1"/>
    <x v="1"/>
    <x v="0"/>
    <x v="0"/>
    <x v="0"/>
    <x v="0"/>
    <x v="0"/>
    <x v="0"/>
    <m/>
    <x v="151"/>
  </r>
  <r>
    <s v="USR-100184"/>
    <d v="2025-05-04T00:00:00"/>
    <x v="0"/>
    <x v="3"/>
    <s v="Mobile"/>
    <x v="1"/>
    <x v="1"/>
    <x v="1"/>
    <x v="0"/>
    <x v="0"/>
    <x v="0"/>
    <x v="0"/>
    <x v="0"/>
    <x v="0"/>
    <m/>
    <x v="152"/>
  </r>
  <r>
    <s v="USR-100185"/>
    <d v="2025-02-07T00:00:00"/>
    <x v="0"/>
    <x v="3"/>
    <s v="Tablet"/>
    <x v="2"/>
    <x v="2"/>
    <x v="0"/>
    <x v="0"/>
    <x v="0"/>
    <x v="0"/>
    <x v="0"/>
    <x v="0"/>
    <x v="0"/>
    <m/>
    <x v="153"/>
  </r>
  <r>
    <s v="USR-100186"/>
    <d v="2025-04-28T00:00:00"/>
    <x v="0"/>
    <x v="2"/>
    <s v="Tablet"/>
    <x v="0"/>
    <x v="0"/>
    <x v="1"/>
    <x v="1"/>
    <x v="1"/>
    <x v="0"/>
    <x v="0"/>
    <x v="0"/>
    <x v="0"/>
    <m/>
    <x v="154"/>
  </r>
  <r>
    <s v="USR-100187"/>
    <d v="2025-05-15T00:00:00"/>
    <x v="0"/>
    <x v="2"/>
    <s v="Desktop"/>
    <x v="3"/>
    <x v="1"/>
    <x v="0"/>
    <x v="0"/>
    <x v="0"/>
    <x v="0"/>
    <x v="0"/>
    <x v="0"/>
    <x v="0"/>
    <m/>
    <x v="155"/>
  </r>
  <r>
    <s v="USR-100188"/>
    <d v="2025-01-18T00:00:00"/>
    <x v="0"/>
    <x v="1"/>
    <s v="Mobile"/>
    <x v="2"/>
    <x v="0"/>
    <x v="0"/>
    <x v="0"/>
    <x v="0"/>
    <x v="0"/>
    <x v="0"/>
    <x v="0"/>
    <x v="0"/>
    <m/>
    <x v="8"/>
  </r>
  <r>
    <s v="USR-100189"/>
    <d v="2025-02-15T00:00:00"/>
    <x v="0"/>
    <x v="3"/>
    <s v="Mobile"/>
    <x v="4"/>
    <x v="0"/>
    <x v="1"/>
    <x v="0"/>
    <x v="0"/>
    <x v="0"/>
    <x v="0"/>
    <x v="0"/>
    <x v="0"/>
    <m/>
    <x v="112"/>
  </r>
  <r>
    <s v="USR-100190"/>
    <d v="2025-02-18T00:00:00"/>
    <x v="0"/>
    <x v="0"/>
    <s v="Tablet"/>
    <x v="0"/>
    <x v="1"/>
    <x v="1"/>
    <x v="0"/>
    <x v="0"/>
    <x v="0"/>
    <x v="0"/>
    <x v="0"/>
    <x v="0"/>
    <m/>
    <x v="107"/>
  </r>
  <r>
    <s v="USR-100191"/>
    <d v="2025-01-30T00:00:00"/>
    <x v="0"/>
    <x v="3"/>
    <s v="Desktop"/>
    <x v="0"/>
    <x v="0"/>
    <x v="1"/>
    <x v="1"/>
    <x v="1"/>
    <x v="0"/>
    <x v="0"/>
    <x v="0"/>
    <x v="0"/>
    <m/>
    <x v="156"/>
  </r>
  <r>
    <s v="USR-100192"/>
    <d v="2025-02-09T00:00:00"/>
    <x v="0"/>
    <x v="3"/>
    <s v="Desktop"/>
    <x v="1"/>
    <x v="0"/>
    <x v="1"/>
    <x v="0"/>
    <x v="0"/>
    <x v="0"/>
    <x v="0"/>
    <x v="0"/>
    <x v="0"/>
    <m/>
    <x v="157"/>
  </r>
  <r>
    <s v="USR-100193"/>
    <d v="2025-03-16T00:00:00"/>
    <x v="0"/>
    <x v="1"/>
    <s v="Mobile"/>
    <x v="2"/>
    <x v="0"/>
    <x v="1"/>
    <x v="0"/>
    <x v="0"/>
    <x v="0"/>
    <x v="0"/>
    <x v="0"/>
    <x v="0"/>
    <m/>
    <x v="158"/>
  </r>
  <r>
    <s v="USR-100194"/>
    <d v="2025-05-19T00:00:00"/>
    <x v="0"/>
    <x v="0"/>
    <s v="Mobile"/>
    <x v="2"/>
    <x v="1"/>
    <x v="1"/>
    <x v="0"/>
    <x v="0"/>
    <x v="0"/>
    <x v="0"/>
    <x v="0"/>
    <x v="0"/>
    <m/>
    <x v="159"/>
  </r>
  <r>
    <s v="USR-100195"/>
    <d v="2025-05-16T00:00:00"/>
    <x v="0"/>
    <x v="3"/>
    <s v="Desktop"/>
    <x v="1"/>
    <x v="0"/>
    <x v="1"/>
    <x v="0"/>
    <x v="0"/>
    <x v="0"/>
    <x v="0"/>
    <x v="0"/>
    <x v="0"/>
    <m/>
    <x v="160"/>
  </r>
  <r>
    <s v="USR-100196"/>
    <d v="2025-04-25T00:00:00"/>
    <x v="0"/>
    <x v="1"/>
    <s v="Desktop"/>
    <x v="3"/>
    <x v="0"/>
    <x v="0"/>
    <x v="0"/>
    <x v="0"/>
    <x v="0"/>
    <x v="0"/>
    <x v="0"/>
    <x v="0"/>
    <m/>
    <x v="161"/>
  </r>
  <r>
    <s v="USR-100197"/>
    <d v="2025-02-27T00:00:00"/>
    <x v="0"/>
    <x v="0"/>
    <s v="Mobile"/>
    <x v="4"/>
    <x v="0"/>
    <x v="1"/>
    <x v="1"/>
    <x v="1"/>
    <x v="1"/>
    <x v="9"/>
    <x v="2"/>
    <x v="0"/>
    <n v="6"/>
    <x v="75"/>
  </r>
  <r>
    <s v="USR-100198"/>
    <d v="2025-04-26T00:00:00"/>
    <x v="0"/>
    <x v="3"/>
    <s v="Mobile"/>
    <x v="2"/>
    <x v="0"/>
    <x v="0"/>
    <x v="0"/>
    <x v="0"/>
    <x v="0"/>
    <x v="0"/>
    <x v="0"/>
    <x v="0"/>
    <m/>
    <x v="162"/>
  </r>
  <r>
    <s v="USR-100199"/>
    <d v="2025-05-14T00:00:00"/>
    <x v="0"/>
    <x v="0"/>
    <s v="Mobile"/>
    <x v="1"/>
    <x v="0"/>
    <x v="1"/>
    <x v="0"/>
    <x v="0"/>
    <x v="0"/>
    <x v="0"/>
    <x v="0"/>
    <x v="0"/>
    <m/>
    <x v="32"/>
  </r>
  <r>
    <s v="USR-100200"/>
    <d v="2025-03-05T00:00:00"/>
    <x v="0"/>
    <x v="0"/>
    <s v="Mobile"/>
    <x v="1"/>
    <x v="2"/>
    <x v="1"/>
    <x v="0"/>
    <x v="0"/>
    <x v="0"/>
    <x v="0"/>
    <x v="0"/>
    <x v="0"/>
    <m/>
    <x v="163"/>
  </r>
  <r>
    <s v="USR-100201"/>
    <d v="2025-04-02T00:00:00"/>
    <x v="0"/>
    <x v="1"/>
    <s v="Desktop"/>
    <x v="1"/>
    <x v="1"/>
    <x v="1"/>
    <x v="0"/>
    <x v="0"/>
    <x v="0"/>
    <x v="0"/>
    <x v="0"/>
    <x v="0"/>
    <m/>
    <x v="164"/>
  </r>
  <r>
    <s v="USR-100202"/>
    <d v="2025-05-14T00:00:00"/>
    <x v="0"/>
    <x v="3"/>
    <s v="Tablet"/>
    <x v="1"/>
    <x v="1"/>
    <x v="0"/>
    <x v="0"/>
    <x v="0"/>
    <x v="0"/>
    <x v="0"/>
    <x v="0"/>
    <x v="0"/>
    <m/>
    <x v="121"/>
  </r>
  <r>
    <s v="USR-100203"/>
    <d v="2025-05-21T00:00:00"/>
    <x v="0"/>
    <x v="0"/>
    <s v="Mobile"/>
    <x v="2"/>
    <x v="1"/>
    <x v="1"/>
    <x v="1"/>
    <x v="0"/>
    <x v="0"/>
    <x v="0"/>
    <x v="0"/>
    <x v="0"/>
    <m/>
    <x v="165"/>
  </r>
  <r>
    <s v="USR-100204"/>
    <d v="2025-01-27T00:00:00"/>
    <x v="0"/>
    <x v="2"/>
    <s v="Mobile"/>
    <x v="4"/>
    <x v="0"/>
    <x v="0"/>
    <x v="0"/>
    <x v="0"/>
    <x v="0"/>
    <x v="0"/>
    <x v="0"/>
    <x v="0"/>
    <m/>
    <x v="84"/>
  </r>
  <r>
    <s v="USR-100205"/>
    <d v="2025-05-22T00:00:00"/>
    <x v="0"/>
    <x v="1"/>
    <s v="Desktop"/>
    <x v="1"/>
    <x v="1"/>
    <x v="1"/>
    <x v="1"/>
    <x v="0"/>
    <x v="0"/>
    <x v="0"/>
    <x v="0"/>
    <x v="0"/>
    <m/>
    <x v="145"/>
  </r>
  <r>
    <s v="USR-100206"/>
    <d v="2025-05-19T00:00:00"/>
    <x v="0"/>
    <x v="3"/>
    <s v="Mobile"/>
    <x v="2"/>
    <x v="1"/>
    <x v="0"/>
    <x v="0"/>
    <x v="0"/>
    <x v="0"/>
    <x v="0"/>
    <x v="0"/>
    <x v="0"/>
    <m/>
    <x v="166"/>
  </r>
  <r>
    <s v="USR-100207"/>
    <d v="2025-01-14T00:00:00"/>
    <x v="0"/>
    <x v="3"/>
    <s v="Desktop"/>
    <x v="2"/>
    <x v="1"/>
    <x v="1"/>
    <x v="0"/>
    <x v="0"/>
    <x v="0"/>
    <x v="0"/>
    <x v="2"/>
    <x v="0"/>
    <m/>
    <x v="81"/>
  </r>
  <r>
    <s v="USR-100208"/>
    <d v="2025-01-21T00:00:00"/>
    <x v="0"/>
    <x v="0"/>
    <s v="Desktop"/>
    <x v="3"/>
    <x v="2"/>
    <x v="1"/>
    <x v="0"/>
    <x v="0"/>
    <x v="0"/>
    <x v="0"/>
    <x v="1"/>
    <x v="0"/>
    <m/>
    <x v="167"/>
  </r>
  <r>
    <s v="USR-100209"/>
    <d v="2025-05-16T00:00:00"/>
    <x v="0"/>
    <x v="2"/>
    <s v="Mobile"/>
    <x v="1"/>
    <x v="1"/>
    <x v="0"/>
    <x v="0"/>
    <x v="0"/>
    <x v="0"/>
    <x v="0"/>
    <x v="0"/>
    <x v="0"/>
    <m/>
    <x v="168"/>
  </r>
  <r>
    <s v="USR-100210"/>
    <d v="2025-02-02T00:00:00"/>
    <x v="0"/>
    <x v="0"/>
    <s v="Mobile"/>
    <x v="0"/>
    <x v="1"/>
    <x v="1"/>
    <x v="0"/>
    <x v="0"/>
    <x v="0"/>
    <x v="0"/>
    <x v="0"/>
    <x v="0"/>
    <m/>
    <x v="22"/>
  </r>
  <r>
    <s v="USR-100211"/>
    <d v="2025-03-23T00:00:00"/>
    <x v="0"/>
    <x v="2"/>
    <s v="Unknown"/>
    <x v="3"/>
    <x v="1"/>
    <x v="1"/>
    <x v="1"/>
    <x v="1"/>
    <x v="1"/>
    <x v="10"/>
    <x v="0"/>
    <x v="0"/>
    <n v="5"/>
    <x v="169"/>
  </r>
  <r>
    <s v="USR-100212"/>
    <d v="2025-01-24T00:00:00"/>
    <x v="0"/>
    <x v="2"/>
    <s v="Mobile"/>
    <x v="1"/>
    <x v="1"/>
    <x v="1"/>
    <x v="0"/>
    <x v="0"/>
    <x v="0"/>
    <x v="0"/>
    <x v="0"/>
    <x v="0"/>
    <m/>
    <x v="170"/>
  </r>
  <r>
    <s v="USR-100213"/>
    <d v="2025-04-12T00:00:00"/>
    <x v="0"/>
    <x v="0"/>
    <s v="Desktop"/>
    <x v="1"/>
    <x v="1"/>
    <x v="1"/>
    <x v="0"/>
    <x v="0"/>
    <x v="0"/>
    <x v="0"/>
    <x v="0"/>
    <x v="0"/>
    <m/>
    <x v="109"/>
  </r>
  <r>
    <s v="USR-100214"/>
    <d v="2025-02-18T00:00:00"/>
    <x v="0"/>
    <x v="2"/>
    <s v="Desktop"/>
    <x v="2"/>
    <x v="1"/>
    <x v="1"/>
    <x v="1"/>
    <x v="0"/>
    <x v="0"/>
    <x v="0"/>
    <x v="0"/>
    <x v="0"/>
    <m/>
    <x v="19"/>
  </r>
  <r>
    <s v="USR-100215"/>
    <d v="2025-05-28T00:00:00"/>
    <x v="0"/>
    <x v="3"/>
    <s v="Mobile"/>
    <x v="0"/>
    <x v="0"/>
    <x v="1"/>
    <x v="1"/>
    <x v="1"/>
    <x v="0"/>
    <x v="0"/>
    <x v="0"/>
    <x v="0"/>
    <m/>
    <x v="171"/>
  </r>
  <r>
    <s v="USR-100216"/>
    <d v="2025-04-18T00:00:00"/>
    <x v="0"/>
    <x v="3"/>
    <s v="Mobile"/>
    <x v="4"/>
    <x v="0"/>
    <x v="0"/>
    <x v="0"/>
    <x v="0"/>
    <x v="0"/>
    <x v="0"/>
    <x v="0"/>
    <x v="0"/>
    <m/>
    <x v="172"/>
  </r>
  <r>
    <s v="USR-100217"/>
    <d v="2025-03-27T00:00:00"/>
    <x v="0"/>
    <x v="0"/>
    <s v="Mobile"/>
    <x v="2"/>
    <x v="0"/>
    <x v="1"/>
    <x v="0"/>
    <x v="0"/>
    <x v="0"/>
    <x v="0"/>
    <x v="0"/>
    <x v="0"/>
    <m/>
    <x v="173"/>
  </r>
  <r>
    <s v="USR-100218"/>
    <d v="2025-02-25T00:00:00"/>
    <x v="0"/>
    <x v="0"/>
    <s v="Tablet"/>
    <x v="4"/>
    <x v="1"/>
    <x v="1"/>
    <x v="0"/>
    <x v="0"/>
    <x v="0"/>
    <x v="0"/>
    <x v="0"/>
    <x v="0"/>
    <m/>
    <x v="103"/>
  </r>
  <r>
    <s v="USR-100219"/>
    <d v="2025-02-19T00:00:00"/>
    <x v="0"/>
    <x v="2"/>
    <s v="Mobile"/>
    <x v="2"/>
    <x v="1"/>
    <x v="0"/>
    <x v="0"/>
    <x v="0"/>
    <x v="0"/>
    <x v="0"/>
    <x v="1"/>
    <x v="0"/>
    <m/>
    <x v="174"/>
  </r>
  <r>
    <s v="USR-100220"/>
    <d v="2025-04-11T00:00:00"/>
    <x v="0"/>
    <x v="1"/>
    <s v="Mobile"/>
    <x v="2"/>
    <x v="1"/>
    <x v="1"/>
    <x v="1"/>
    <x v="0"/>
    <x v="0"/>
    <x v="0"/>
    <x v="3"/>
    <x v="0"/>
    <m/>
    <x v="175"/>
  </r>
  <r>
    <s v="USR-100221"/>
    <d v="2025-01-22T00:00:00"/>
    <x v="0"/>
    <x v="2"/>
    <s v="Tablet"/>
    <x v="3"/>
    <x v="2"/>
    <x v="1"/>
    <x v="1"/>
    <x v="1"/>
    <x v="0"/>
    <x v="0"/>
    <x v="0"/>
    <x v="0"/>
    <m/>
    <x v="119"/>
  </r>
  <r>
    <s v="USR-100222"/>
    <d v="2025-01-12T00:00:00"/>
    <x v="0"/>
    <x v="3"/>
    <s v="Mobile"/>
    <x v="4"/>
    <x v="1"/>
    <x v="1"/>
    <x v="0"/>
    <x v="0"/>
    <x v="0"/>
    <x v="0"/>
    <x v="0"/>
    <x v="0"/>
    <m/>
    <x v="176"/>
  </r>
  <r>
    <s v="USR-100223"/>
    <d v="2025-02-17T00:00:00"/>
    <x v="0"/>
    <x v="1"/>
    <s v="Mobile"/>
    <x v="0"/>
    <x v="1"/>
    <x v="1"/>
    <x v="0"/>
    <x v="0"/>
    <x v="0"/>
    <x v="0"/>
    <x v="1"/>
    <x v="0"/>
    <m/>
    <x v="136"/>
  </r>
  <r>
    <s v="USR-100224"/>
    <d v="2025-04-11T00:00:00"/>
    <x v="0"/>
    <x v="1"/>
    <s v="Desktop"/>
    <x v="1"/>
    <x v="1"/>
    <x v="0"/>
    <x v="0"/>
    <x v="0"/>
    <x v="0"/>
    <x v="0"/>
    <x v="0"/>
    <x v="0"/>
    <m/>
    <x v="177"/>
  </r>
  <r>
    <s v="USR-100225"/>
    <d v="2025-05-25T00:00:00"/>
    <x v="0"/>
    <x v="3"/>
    <s v="Mobile"/>
    <x v="3"/>
    <x v="2"/>
    <x v="0"/>
    <x v="0"/>
    <x v="0"/>
    <x v="0"/>
    <x v="0"/>
    <x v="0"/>
    <x v="0"/>
    <m/>
    <x v="178"/>
  </r>
  <r>
    <s v="USR-100226"/>
    <d v="2025-03-12T00:00:00"/>
    <x v="0"/>
    <x v="3"/>
    <s v="Mobile"/>
    <x v="1"/>
    <x v="0"/>
    <x v="1"/>
    <x v="0"/>
    <x v="0"/>
    <x v="0"/>
    <x v="0"/>
    <x v="0"/>
    <x v="0"/>
    <m/>
    <x v="111"/>
  </r>
  <r>
    <s v="USR-100227"/>
    <d v="2025-04-20T00:00:00"/>
    <x v="0"/>
    <x v="0"/>
    <s v="Tablet"/>
    <x v="0"/>
    <x v="1"/>
    <x v="0"/>
    <x v="0"/>
    <x v="0"/>
    <x v="0"/>
    <x v="0"/>
    <x v="0"/>
    <x v="0"/>
    <m/>
    <x v="179"/>
  </r>
  <r>
    <s v="USR-100228"/>
    <d v="2025-02-23T00:00:00"/>
    <x v="0"/>
    <x v="0"/>
    <s v="Tablet"/>
    <x v="1"/>
    <x v="1"/>
    <x v="0"/>
    <x v="0"/>
    <x v="0"/>
    <x v="0"/>
    <x v="0"/>
    <x v="0"/>
    <x v="0"/>
    <m/>
    <x v="24"/>
  </r>
  <r>
    <s v="USR-100229"/>
    <d v="2025-01-24T00:00:00"/>
    <x v="0"/>
    <x v="0"/>
    <s v="Mobile"/>
    <x v="1"/>
    <x v="0"/>
    <x v="1"/>
    <x v="1"/>
    <x v="1"/>
    <x v="0"/>
    <x v="0"/>
    <x v="1"/>
    <x v="0"/>
    <m/>
    <x v="180"/>
  </r>
  <r>
    <s v="USR-100230"/>
    <d v="2025-01-16T00:00:00"/>
    <x v="0"/>
    <x v="1"/>
    <s v="Mobile"/>
    <x v="1"/>
    <x v="2"/>
    <x v="1"/>
    <x v="1"/>
    <x v="1"/>
    <x v="0"/>
    <x v="0"/>
    <x v="1"/>
    <x v="0"/>
    <m/>
    <x v="181"/>
  </r>
  <r>
    <s v="USR-100231"/>
    <d v="2025-02-17T00:00:00"/>
    <x v="0"/>
    <x v="0"/>
    <s v="Mobile"/>
    <x v="4"/>
    <x v="1"/>
    <x v="0"/>
    <x v="0"/>
    <x v="0"/>
    <x v="0"/>
    <x v="0"/>
    <x v="0"/>
    <x v="0"/>
    <m/>
    <x v="182"/>
  </r>
  <r>
    <s v="USR-100232"/>
    <d v="2025-05-04T00:00:00"/>
    <x v="0"/>
    <x v="0"/>
    <s v="Desktop"/>
    <x v="1"/>
    <x v="0"/>
    <x v="1"/>
    <x v="0"/>
    <x v="0"/>
    <x v="0"/>
    <x v="0"/>
    <x v="0"/>
    <x v="0"/>
    <m/>
    <x v="148"/>
  </r>
  <r>
    <s v="USR-100233"/>
    <d v="2025-01-12T00:00:00"/>
    <x v="0"/>
    <x v="1"/>
    <s v="Mobile"/>
    <x v="1"/>
    <x v="0"/>
    <x v="0"/>
    <x v="0"/>
    <x v="0"/>
    <x v="0"/>
    <x v="0"/>
    <x v="0"/>
    <x v="0"/>
    <m/>
    <x v="183"/>
  </r>
  <r>
    <s v="USR-100234"/>
    <d v="2025-04-28T00:00:00"/>
    <x v="0"/>
    <x v="0"/>
    <s v="Tablet"/>
    <x v="1"/>
    <x v="1"/>
    <x v="0"/>
    <x v="0"/>
    <x v="0"/>
    <x v="0"/>
    <x v="0"/>
    <x v="0"/>
    <x v="0"/>
    <m/>
    <x v="18"/>
  </r>
  <r>
    <s v="USR-100235"/>
    <d v="2025-02-26T00:00:00"/>
    <x v="0"/>
    <x v="0"/>
    <s v="Mobile"/>
    <x v="1"/>
    <x v="1"/>
    <x v="0"/>
    <x v="0"/>
    <x v="0"/>
    <x v="0"/>
    <x v="0"/>
    <x v="0"/>
    <x v="0"/>
    <m/>
    <x v="184"/>
  </r>
  <r>
    <s v="USR-100236"/>
    <d v="2025-03-18T00:00:00"/>
    <x v="0"/>
    <x v="1"/>
    <s v="Mobile"/>
    <x v="4"/>
    <x v="1"/>
    <x v="1"/>
    <x v="0"/>
    <x v="0"/>
    <x v="0"/>
    <x v="0"/>
    <x v="3"/>
    <x v="0"/>
    <m/>
    <x v="185"/>
  </r>
  <r>
    <s v="USR-100237"/>
    <d v="2025-03-01T00:00:00"/>
    <x v="0"/>
    <x v="3"/>
    <s v="Desktop"/>
    <x v="1"/>
    <x v="2"/>
    <x v="1"/>
    <x v="0"/>
    <x v="0"/>
    <x v="0"/>
    <x v="0"/>
    <x v="0"/>
    <x v="0"/>
    <m/>
    <x v="172"/>
  </r>
  <r>
    <s v="USR-100238"/>
    <d v="2025-04-05T00:00:00"/>
    <x v="0"/>
    <x v="0"/>
    <s v="Desktop"/>
    <x v="4"/>
    <x v="2"/>
    <x v="1"/>
    <x v="0"/>
    <x v="0"/>
    <x v="0"/>
    <x v="0"/>
    <x v="0"/>
    <x v="0"/>
    <m/>
    <x v="186"/>
  </r>
  <r>
    <s v="USR-100239"/>
    <d v="2025-03-12T00:00:00"/>
    <x v="0"/>
    <x v="0"/>
    <s v="Desktop"/>
    <x v="4"/>
    <x v="1"/>
    <x v="1"/>
    <x v="1"/>
    <x v="1"/>
    <x v="0"/>
    <x v="0"/>
    <x v="0"/>
    <x v="0"/>
    <m/>
    <x v="148"/>
  </r>
  <r>
    <s v="USR-100240"/>
    <d v="2025-03-15T00:00:00"/>
    <x v="0"/>
    <x v="1"/>
    <s v="Mobile"/>
    <x v="3"/>
    <x v="0"/>
    <x v="1"/>
    <x v="1"/>
    <x v="0"/>
    <x v="0"/>
    <x v="0"/>
    <x v="0"/>
    <x v="0"/>
    <m/>
    <x v="187"/>
  </r>
  <r>
    <s v="USR-100241"/>
    <d v="2025-02-23T00:00:00"/>
    <x v="0"/>
    <x v="1"/>
    <s v="Mobile"/>
    <x v="0"/>
    <x v="1"/>
    <x v="0"/>
    <x v="0"/>
    <x v="0"/>
    <x v="0"/>
    <x v="0"/>
    <x v="0"/>
    <x v="0"/>
    <m/>
    <x v="78"/>
  </r>
  <r>
    <s v="USR-100242"/>
    <d v="2025-04-22T00:00:00"/>
    <x v="0"/>
    <x v="0"/>
    <s v="Mobile"/>
    <x v="1"/>
    <x v="0"/>
    <x v="1"/>
    <x v="0"/>
    <x v="0"/>
    <x v="0"/>
    <x v="0"/>
    <x v="0"/>
    <x v="0"/>
    <m/>
    <x v="188"/>
  </r>
  <r>
    <s v="USR-100243"/>
    <d v="2025-01-09T00:00:00"/>
    <x v="0"/>
    <x v="2"/>
    <s v="Mobile"/>
    <x v="1"/>
    <x v="0"/>
    <x v="1"/>
    <x v="1"/>
    <x v="1"/>
    <x v="0"/>
    <x v="0"/>
    <x v="0"/>
    <x v="0"/>
    <m/>
    <x v="189"/>
  </r>
  <r>
    <s v="USR-100244"/>
    <d v="2025-03-05T00:00:00"/>
    <x v="0"/>
    <x v="2"/>
    <s v="Tablet"/>
    <x v="4"/>
    <x v="2"/>
    <x v="1"/>
    <x v="1"/>
    <x v="0"/>
    <x v="0"/>
    <x v="0"/>
    <x v="0"/>
    <x v="0"/>
    <m/>
    <x v="40"/>
  </r>
  <r>
    <s v="USR-100245"/>
    <d v="2025-01-28T00:00:00"/>
    <x v="0"/>
    <x v="0"/>
    <s v="Mobile"/>
    <x v="4"/>
    <x v="1"/>
    <x v="1"/>
    <x v="1"/>
    <x v="1"/>
    <x v="0"/>
    <x v="0"/>
    <x v="0"/>
    <x v="0"/>
    <m/>
    <x v="190"/>
  </r>
  <r>
    <s v="USR-100246"/>
    <d v="2025-01-21T00:00:00"/>
    <x v="0"/>
    <x v="1"/>
    <s v="Mobile"/>
    <x v="2"/>
    <x v="2"/>
    <x v="1"/>
    <x v="1"/>
    <x v="0"/>
    <x v="0"/>
    <x v="0"/>
    <x v="0"/>
    <x v="0"/>
    <m/>
    <x v="191"/>
  </r>
  <r>
    <s v="USR-100247"/>
    <d v="2025-03-14T00:00:00"/>
    <x v="0"/>
    <x v="3"/>
    <s v="Mobile"/>
    <x v="3"/>
    <x v="0"/>
    <x v="0"/>
    <x v="0"/>
    <x v="0"/>
    <x v="0"/>
    <x v="0"/>
    <x v="0"/>
    <x v="0"/>
    <m/>
    <x v="131"/>
  </r>
  <r>
    <s v="USR-100248"/>
    <d v="2025-02-03T00:00:00"/>
    <x v="0"/>
    <x v="1"/>
    <s v="Mobile"/>
    <x v="2"/>
    <x v="1"/>
    <x v="0"/>
    <x v="0"/>
    <x v="0"/>
    <x v="0"/>
    <x v="0"/>
    <x v="0"/>
    <x v="0"/>
    <m/>
    <x v="192"/>
  </r>
  <r>
    <s v="USR-100249"/>
    <d v="2025-05-22T00:00:00"/>
    <x v="0"/>
    <x v="0"/>
    <s v="Mobile"/>
    <x v="4"/>
    <x v="1"/>
    <x v="1"/>
    <x v="0"/>
    <x v="0"/>
    <x v="0"/>
    <x v="0"/>
    <x v="0"/>
    <x v="0"/>
    <m/>
    <x v="39"/>
  </r>
  <r>
    <s v="USR-100250"/>
    <d v="2025-04-25T00:00:00"/>
    <x v="0"/>
    <x v="0"/>
    <s v="Desktop"/>
    <x v="0"/>
    <x v="1"/>
    <x v="1"/>
    <x v="0"/>
    <x v="0"/>
    <x v="0"/>
    <x v="0"/>
    <x v="0"/>
    <x v="0"/>
    <m/>
    <x v="193"/>
  </r>
  <r>
    <s v="USR-100251"/>
    <d v="2025-01-30T00:00:00"/>
    <x v="0"/>
    <x v="0"/>
    <s v="Desktop"/>
    <x v="0"/>
    <x v="0"/>
    <x v="1"/>
    <x v="1"/>
    <x v="1"/>
    <x v="1"/>
    <x v="11"/>
    <x v="0"/>
    <x v="0"/>
    <n v="10"/>
    <x v="194"/>
  </r>
  <r>
    <s v="USR-100252"/>
    <d v="2025-05-23T00:00:00"/>
    <x v="0"/>
    <x v="1"/>
    <s v="Mobile"/>
    <x v="1"/>
    <x v="1"/>
    <x v="1"/>
    <x v="0"/>
    <x v="0"/>
    <x v="0"/>
    <x v="0"/>
    <x v="0"/>
    <x v="0"/>
    <m/>
    <x v="195"/>
  </r>
  <r>
    <s v="USR-100253"/>
    <d v="2025-02-14T00:00:00"/>
    <x v="0"/>
    <x v="2"/>
    <s v="Desktop"/>
    <x v="1"/>
    <x v="1"/>
    <x v="1"/>
    <x v="1"/>
    <x v="1"/>
    <x v="0"/>
    <x v="0"/>
    <x v="0"/>
    <x v="0"/>
    <m/>
    <x v="196"/>
  </r>
  <r>
    <s v="USR-100254"/>
    <d v="2025-03-05T00:00:00"/>
    <x v="0"/>
    <x v="0"/>
    <s v="Mobile"/>
    <x v="2"/>
    <x v="2"/>
    <x v="0"/>
    <x v="0"/>
    <x v="0"/>
    <x v="0"/>
    <x v="0"/>
    <x v="1"/>
    <x v="0"/>
    <m/>
    <x v="68"/>
  </r>
  <r>
    <s v="USR-100255"/>
    <d v="2025-05-27T00:00:00"/>
    <x v="0"/>
    <x v="0"/>
    <s v="Mobile"/>
    <x v="2"/>
    <x v="0"/>
    <x v="0"/>
    <x v="0"/>
    <x v="0"/>
    <x v="0"/>
    <x v="0"/>
    <x v="0"/>
    <x v="0"/>
    <m/>
    <x v="117"/>
  </r>
  <r>
    <s v="USR-100256"/>
    <d v="2025-01-07T00:00:00"/>
    <x v="0"/>
    <x v="3"/>
    <s v="Mobile"/>
    <x v="2"/>
    <x v="1"/>
    <x v="1"/>
    <x v="0"/>
    <x v="0"/>
    <x v="0"/>
    <x v="0"/>
    <x v="0"/>
    <x v="0"/>
    <m/>
    <x v="70"/>
  </r>
  <r>
    <s v="USR-100257"/>
    <d v="2025-04-21T00:00:00"/>
    <x v="0"/>
    <x v="0"/>
    <s v="Mobile"/>
    <x v="0"/>
    <x v="1"/>
    <x v="1"/>
    <x v="0"/>
    <x v="0"/>
    <x v="0"/>
    <x v="0"/>
    <x v="0"/>
    <x v="0"/>
    <m/>
    <x v="59"/>
  </r>
  <r>
    <s v="USR-100258"/>
    <d v="2025-05-13T00:00:00"/>
    <x v="0"/>
    <x v="0"/>
    <s v="Mobile"/>
    <x v="2"/>
    <x v="1"/>
    <x v="0"/>
    <x v="0"/>
    <x v="0"/>
    <x v="0"/>
    <x v="0"/>
    <x v="0"/>
    <x v="0"/>
    <m/>
    <x v="195"/>
  </r>
  <r>
    <s v="USR-100259"/>
    <d v="2025-01-28T00:00:00"/>
    <x v="0"/>
    <x v="2"/>
    <s v="Desktop"/>
    <x v="1"/>
    <x v="1"/>
    <x v="1"/>
    <x v="0"/>
    <x v="0"/>
    <x v="0"/>
    <x v="0"/>
    <x v="0"/>
    <x v="0"/>
    <m/>
    <x v="197"/>
  </r>
  <r>
    <s v="USR-100260"/>
    <d v="2025-03-16T00:00:00"/>
    <x v="0"/>
    <x v="2"/>
    <s v="Desktop"/>
    <x v="2"/>
    <x v="0"/>
    <x v="1"/>
    <x v="0"/>
    <x v="0"/>
    <x v="0"/>
    <x v="0"/>
    <x v="1"/>
    <x v="0"/>
    <m/>
    <x v="173"/>
  </r>
  <r>
    <s v="USR-100261"/>
    <d v="2025-04-10T00:00:00"/>
    <x v="0"/>
    <x v="2"/>
    <s v="Desktop"/>
    <x v="4"/>
    <x v="0"/>
    <x v="0"/>
    <x v="0"/>
    <x v="0"/>
    <x v="0"/>
    <x v="0"/>
    <x v="0"/>
    <x v="0"/>
    <m/>
    <x v="198"/>
  </r>
  <r>
    <s v="USR-100262"/>
    <d v="2025-03-15T00:00:00"/>
    <x v="0"/>
    <x v="2"/>
    <s v="Desktop"/>
    <x v="3"/>
    <x v="1"/>
    <x v="1"/>
    <x v="1"/>
    <x v="1"/>
    <x v="0"/>
    <x v="0"/>
    <x v="0"/>
    <x v="0"/>
    <m/>
    <x v="2"/>
  </r>
  <r>
    <s v="USR-100263"/>
    <d v="2025-04-07T00:00:00"/>
    <x v="0"/>
    <x v="1"/>
    <s v="Desktop"/>
    <x v="1"/>
    <x v="0"/>
    <x v="1"/>
    <x v="0"/>
    <x v="0"/>
    <x v="0"/>
    <x v="0"/>
    <x v="0"/>
    <x v="0"/>
    <m/>
    <x v="199"/>
  </r>
  <r>
    <s v="USR-100264"/>
    <d v="2025-02-12T00:00:00"/>
    <x v="0"/>
    <x v="3"/>
    <s v="Mobile"/>
    <x v="1"/>
    <x v="1"/>
    <x v="1"/>
    <x v="1"/>
    <x v="0"/>
    <x v="0"/>
    <x v="0"/>
    <x v="0"/>
    <x v="0"/>
    <m/>
    <x v="200"/>
  </r>
  <r>
    <s v="USR-100265"/>
    <d v="2025-05-05T00:00:00"/>
    <x v="0"/>
    <x v="1"/>
    <s v="Mobile"/>
    <x v="4"/>
    <x v="1"/>
    <x v="0"/>
    <x v="0"/>
    <x v="0"/>
    <x v="0"/>
    <x v="0"/>
    <x v="0"/>
    <x v="0"/>
    <m/>
    <x v="45"/>
  </r>
  <r>
    <s v="USR-100266"/>
    <d v="2025-03-11T00:00:00"/>
    <x v="0"/>
    <x v="1"/>
    <s v="Mobile"/>
    <x v="3"/>
    <x v="1"/>
    <x v="1"/>
    <x v="0"/>
    <x v="0"/>
    <x v="0"/>
    <x v="0"/>
    <x v="0"/>
    <x v="0"/>
    <m/>
    <x v="105"/>
  </r>
  <r>
    <s v="USR-100267"/>
    <d v="2025-02-10T00:00:00"/>
    <x v="0"/>
    <x v="2"/>
    <s v="Mobile"/>
    <x v="4"/>
    <x v="1"/>
    <x v="0"/>
    <x v="0"/>
    <x v="0"/>
    <x v="0"/>
    <x v="0"/>
    <x v="0"/>
    <x v="0"/>
    <m/>
    <x v="201"/>
  </r>
  <r>
    <s v="USR-100268"/>
    <d v="2025-04-06T00:00:00"/>
    <x v="0"/>
    <x v="3"/>
    <s v="Mobile"/>
    <x v="1"/>
    <x v="1"/>
    <x v="0"/>
    <x v="0"/>
    <x v="0"/>
    <x v="0"/>
    <x v="0"/>
    <x v="0"/>
    <x v="0"/>
    <m/>
    <x v="65"/>
  </r>
  <r>
    <s v="USR-100269"/>
    <d v="2025-01-06T00:00:00"/>
    <x v="0"/>
    <x v="2"/>
    <s v="Mobile"/>
    <x v="3"/>
    <x v="1"/>
    <x v="0"/>
    <x v="0"/>
    <x v="0"/>
    <x v="0"/>
    <x v="0"/>
    <x v="0"/>
    <x v="0"/>
    <m/>
    <x v="52"/>
  </r>
  <r>
    <s v="USR-100270"/>
    <d v="2025-03-25T00:00:00"/>
    <x v="0"/>
    <x v="2"/>
    <s v="Tablet"/>
    <x v="2"/>
    <x v="0"/>
    <x v="1"/>
    <x v="0"/>
    <x v="0"/>
    <x v="0"/>
    <x v="0"/>
    <x v="0"/>
    <x v="0"/>
    <m/>
    <x v="202"/>
  </r>
  <r>
    <s v="USR-100271"/>
    <d v="2025-02-13T00:00:00"/>
    <x v="0"/>
    <x v="2"/>
    <s v="Desktop"/>
    <x v="3"/>
    <x v="1"/>
    <x v="1"/>
    <x v="0"/>
    <x v="0"/>
    <x v="0"/>
    <x v="0"/>
    <x v="0"/>
    <x v="0"/>
    <m/>
    <x v="203"/>
  </r>
  <r>
    <s v="USR-100272"/>
    <d v="2025-03-17T00:00:00"/>
    <x v="0"/>
    <x v="1"/>
    <s v="Desktop"/>
    <x v="1"/>
    <x v="1"/>
    <x v="1"/>
    <x v="0"/>
    <x v="0"/>
    <x v="0"/>
    <x v="0"/>
    <x v="0"/>
    <x v="0"/>
    <m/>
    <x v="112"/>
  </r>
  <r>
    <s v="USR-100273"/>
    <d v="2025-05-10T00:00:00"/>
    <x v="0"/>
    <x v="0"/>
    <s v="Mobile"/>
    <x v="3"/>
    <x v="1"/>
    <x v="1"/>
    <x v="1"/>
    <x v="1"/>
    <x v="0"/>
    <x v="0"/>
    <x v="0"/>
    <x v="0"/>
    <m/>
    <x v="31"/>
  </r>
  <r>
    <s v="USR-100274"/>
    <d v="2025-05-07T00:00:00"/>
    <x v="0"/>
    <x v="3"/>
    <s v="Mobile"/>
    <x v="2"/>
    <x v="0"/>
    <x v="0"/>
    <x v="0"/>
    <x v="0"/>
    <x v="0"/>
    <x v="0"/>
    <x v="0"/>
    <x v="0"/>
    <m/>
    <x v="25"/>
  </r>
  <r>
    <s v="USR-100275"/>
    <d v="2025-02-26T00:00:00"/>
    <x v="0"/>
    <x v="1"/>
    <s v="Desktop"/>
    <x v="2"/>
    <x v="2"/>
    <x v="0"/>
    <x v="0"/>
    <x v="0"/>
    <x v="0"/>
    <x v="0"/>
    <x v="2"/>
    <x v="0"/>
    <m/>
    <x v="144"/>
  </r>
  <r>
    <s v="USR-100276"/>
    <d v="2025-05-11T00:00:00"/>
    <x v="0"/>
    <x v="0"/>
    <s v="Mobile"/>
    <x v="1"/>
    <x v="0"/>
    <x v="0"/>
    <x v="0"/>
    <x v="0"/>
    <x v="0"/>
    <x v="0"/>
    <x v="0"/>
    <x v="0"/>
    <m/>
    <x v="204"/>
  </r>
  <r>
    <s v="USR-100277"/>
    <d v="2025-03-20T00:00:00"/>
    <x v="0"/>
    <x v="3"/>
    <s v="Mobile"/>
    <x v="1"/>
    <x v="0"/>
    <x v="1"/>
    <x v="1"/>
    <x v="0"/>
    <x v="0"/>
    <x v="0"/>
    <x v="0"/>
    <x v="0"/>
    <m/>
    <x v="51"/>
  </r>
  <r>
    <s v="USR-100278"/>
    <d v="2025-01-19T00:00:00"/>
    <x v="0"/>
    <x v="0"/>
    <s v="Mobile"/>
    <x v="0"/>
    <x v="1"/>
    <x v="1"/>
    <x v="1"/>
    <x v="0"/>
    <x v="0"/>
    <x v="0"/>
    <x v="0"/>
    <x v="0"/>
    <m/>
    <x v="205"/>
  </r>
  <r>
    <s v="USR-100279"/>
    <d v="2025-03-08T00:00:00"/>
    <x v="0"/>
    <x v="0"/>
    <s v="Tablet"/>
    <x v="2"/>
    <x v="2"/>
    <x v="1"/>
    <x v="0"/>
    <x v="0"/>
    <x v="0"/>
    <x v="0"/>
    <x v="1"/>
    <x v="0"/>
    <m/>
    <x v="48"/>
  </r>
  <r>
    <s v="USR-100280"/>
    <d v="2025-04-25T00:00:00"/>
    <x v="0"/>
    <x v="0"/>
    <s v="Mobile"/>
    <x v="1"/>
    <x v="1"/>
    <x v="0"/>
    <x v="0"/>
    <x v="0"/>
    <x v="0"/>
    <x v="0"/>
    <x v="0"/>
    <x v="0"/>
    <m/>
    <x v="206"/>
  </r>
  <r>
    <s v="USR-100281"/>
    <d v="2025-04-04T00:00:00"/>
    <x v="0"/>
    <x v="0"/>
    <s v="Desktop"/>
    <x v="1"/>
    <x v="1"/>
    <x v="1"/>
    <x v="0"/>
    <x v="0"/>
    <x v="0"/>
    <x v="0"/>
    <x v="0"/>
    <x v="0"/>
    <m/>
    <x v="207"/>
  </r>
  <r>
    <s v="USR-100282"/>
    <d v="2025-05-01T00:00:00"/>
    <x v="0"/>
    <x v="2"/>
    <s v="Mobile"/>
    <x v="2"/>
    <x v="2"/>
    <x v="1"/>
    <x v="0"/>
    <x v="0"/>
    <x v="0"/>
    <x v="0"/>
    <x v="1"/>
    <x v="0"/>
    <m/>
    <x v="141"/>
  </r>
  <r>
    <s v="USR-100283"/>
    <d v="2025-01-21T00:00:00"/>
    <x v="0"/>
    <x v="3"/>
    <s v="Mobile"/>
    <x v="4"/>
    <x v="1"/>
    <x v="1"/>
    <x v="0"/>
    <x v="0"/>
    <x v="0"/>
    <x v="0"/>
    <x v="1"/>
    <x v="0"/>
    <m/>
    <x v="208"/>
  </r>
  <r>
    <s v="USR-100284"/>
    <d v="2025-02-10T00:00:00"/>
    <x v="0"/>
    <x v="0"/>
    <s v="Desktop"/>
    <x v="3"/>
    <x v="0"/>
    <x v="1"/>
    <x v="0"/>
    <x v="0"/>
    <x v="0"/>
    <x v="0"/>
    <x v="0"/>
    <x v="0"/>
    <m/>
    <x v="209"/>
  </r>
  <r>
    <s v="USR-100285"/>
    <d v="2025-05-06T00:00:00"/>
    <x v="0"/>
    <x v="3"/>
    <s v="Desktop"/>
    <x v="1"/>
    <x v="1"/>
    <x v="1"/>
    <x v="0"/>
    <x v="0"/>
    <x v="0"/>
    <x v="0"/>
    <x v="0"/>
    <x v="0"/>
    <m/>
    <x v="210"/>
  </r>
  <r>
    <s v="USR-100286"/>
    <d v="2025-02-08T00:00:00"/>
    <x v="0"/>
    <x v="0"/>
    <s v="Desktop"/>
    <x v="2"/>
    <x v="0"/>
    <x v="1"/>
    <x v="1"/>
    <x v="0"/>
    <x v="0"/>
    <x v="0"/>
    <x v="0"/>
    <x v="0"/>
    <m/>
    <x v="211"/>
  </r>
  <r>
    <s v="USR-100287"/>
    <d v="2025-05-31T00:00:00"/>
    <x v="0"/>
    <x v="2"/>
    <s v="Mobile"/>
    <x v="4"/>
    <x v="1"/>
    <x v="1"/>
    <x v="0"/>
    <x v="0"/>
    <x v="0"/>
    <x v="0"/>
    <x v="0"/>
    <x v="0"/>
    <m/>
    <x v="128"/>
  </r>
  <r>
    <s v="USR-100288"/>
    <d v="2025-02-07T00:00:00"/>
    <x v="0"/>
    <x v="1"/>
    <s v="Mobile"/>
    <x v="0"/>
    <x v="0"/>
    <x v="1"/>
    <x v="0"/>
    <x v="0"/>
    <x v="0"/>
    <x v="0"/>
    <x v="0"/>
    <x v="0"/>
    <m/>
    <x v="212"/>
  </r>
  <r>
    <s v="USR-100289"/>
    <d v="2025-02-10T00:00:00"/>
    <x v="0"/>
    <x v="0"/>
    <s v="Mobile"/>
    <x v="4"/>
    <x v="1"/>
    <x v="1"/>
    <x v="0"/>
    <x v="0"/>
    <x v="0"/>
    <x v="0"/>
    <x v="0"/>
    <x v="0"/>
    <m/>
    <x v="213"/>
  </r>
  <r>
    <s v="USR-100290"/>
    <d v="2025-01-31T00:00:00"/>
    <x v="0"/>
    <x v="1"/>
    <s v="Mobile"/>
    <x v="4"/>
    <x v="0"/>
    <x v="0"/>
    <x v="0"/>
    <x v="0"/>
    <x v="0"/>
    <x v="0"/>
    <x v="2"/>
    <x v="0"/>
    <m/>
    <x v="214"/>
  </r>
  <r>
    <s v="USR-100291"/>
    <d v="2025-03-16T00:00:00"/>
    <x v="0"/>
    <x v="2"/>
    <s v="Mobile"/>
    <x v="2"/>
    <x v="0"/>
    <x v="1"/>
    <x v="0"/>
    <x v="0"/>
    <x v="0"/>
    <x v="0"/>
    <x v="0"/>
    <x v="0"/>
    <m/>
    <x v="215"/>
  </r>
  <r>
    <s v="USR-100292"/>
    <d v="2025-04-24T00:00:00"/>
    <x v="0"/>
    <x v="3"/>
    <s v="Mobile"/>
    <x v="4"/>
    <x v="0"/>
    <x v="0"/>
    <x v="0"/>
    <x v="0"/>
    <x v="0"/>
    <x v="0"/>
    <x v="0"/>
    <x v="0"/>
    <m/>
    <x v="216"/>
  </r>
  <r>
    <s v="USR-100293"/>
    <d v="2025-01-28T00:00:00"/>
    <x v="0"/>
    <x v="0"/>
    <s v="Mobile"/>
    <x v="1"/>
    <x v="1"/>
    <x v="0"/>
    <x v="0"/>
    <x v="0"/>
    <x v="0"/>
    <x v="0"/>
    <x v="0"/>
    <x v="0"/>
    <m/>
    <x v="58"/>
  </r>
  <r>
    <s v="USR-100294"/>
    <d v="2025-02-16T00:00:00"/>
    <x v="0"/>
    <x v="1"/>
    <s v="Desktop"/>
    <x v="0"/>
    <x v="1"/>
    <x v="1"/>
    <x v="0"/>
    <x v="0"/>
    <x v="0"/>
    <x v="0"/>
    <x v="0"/>
    <x v="0"/>
    <m/>
    <x v="217"/>
  </r>
  <r>
    <s v="USR-100295"/>
    <d v="2025-03-23T00:00:00"/>
    <x v="0"/>
    <x v="2"/>
    <s v="Mobile"/>
    <x v="1"/>
    <x v="2"/>
    <x v="0"/>
    <x v="0"/>
    <x v="0"/>
    <x v="0"/>
    <x v="0"/>
    <x v="0"/>
    <x v="0"/>
    <m/>
    <x v="176"/>
  </r>
  <r>
    <s v="USR-100296"/>
    <d v="2025-05-31T00:00:00"/>
    <x v="0"/>
    <x v="2"/>
    <s v="Mobile"/>
    <x v="2"/>
    <x v="2"/>
    <x v="0"/>
    <x v="0"/>
    <x v="0"/>
    <x v="0"/>
    <x v="0"/>
    <x v="0"/>
    <x v="0"/>
    <m/>
    <x v="77"/>
  </r>
  <r>
    <s v="USR-100297"/>
    <d v="2025-04-13T00:00:00"/>
    <x v="0"/>
    <x v="1"/>
    <s v="Mobile"/>
    <x v="4"/>
    <x v="0"/>
    <x v="1"/>
    <x v="1"/>
    <x v="0"/>
    <x v="0"/>
    <x v="0"/>
    <x v="1"/>
    <x v="0"/>
    <m/>
    <x v="120"/>
  </r>
  <r>
    <s v="USR-100298"/>
    <d v="2025-05-14T00:00:00"/>
    <x v="0"/>
    <x v="0"/>
    <s v="Tablet"/>
    <x v="0"/>
    <x v="0"/>
    <x v="0"/>
    <x v="0"/>
    <x v="0"/>
    <x v="0"/>
    <x v="0"/>
    <x v="0"/>
    <x v="0"/>
    <m/>
    <x v="5"/>
  </r>
  <r>
    <s v="USR-100299"/>
    <d v="2025-02-19T00:00:00"/>
    <x v="0"/>
    <x v="2"/>
    <s v="Mobile"/>
    <x v="2"/>
    <x v="1"/>
    <x v="0"/>
    <x v="0"/>
    <x v="0"/>
    <x v="0"/>
    <x v="0"/>
    <x v="0"/>
    <x v="0"/>
    <m/>
    <x v="218"/>
  </r>
  <r>
    <s v="USR-100300"/>
    <d v="2025-01-24T00:00:00"/>
    <x v="0"/>
    <x v="3"/>
    <s v="Mobile"/>
    <x v="5"/>
    <x v="0"/>
    <x v="1"/>
    <x v="1"/>
    <x v="1"/>
    <x v="1"/>
    <x v="12"/>
    <x v="1"/>
    <x v="0"/>
    <n v="6"/>
    <x v="219"/>
  </r>
  <r>
    <s v="USR-100301"/>
    <d v="2025-05-09T00:00:00"/>
    <x v="0"/>
    <x v="0"/>
    <s v="Mobile"/>
    <x v="0"/>
    <x v="0"/>
    <x v="1"/>
    <x v="1"/>
    <x v="1"/>
    <x v="0"/>
    <x v="0"/>
    <x v="1"/>
    <x v="0"/>
    <m/>
    <x v="220"/>
  </r>
  <r>
    <s v="USR-100302"/>
    <d v="2025-02-11T00:00:00"/>
    <x v="0"/>
    <x v="0"/>
    <s v="Mobile"/>
    <x v="1"/>
    <x v="0"/>
    <x v="1"/>
    <x v="0"/>
    <x v="0"/>
    <x v="0"/>
    <x v="0"/>
    <x v="0"/>
    <x v="0"/>
    <m/>
    <x v="10"/>
  </r>
  <r>
    <s v="USR-100303"/>
    <d v="2025-02-26T00:00:00"/>
    <x v="0"/>
    <x v="0"/>
    <s v="Desktop"/>
    <x v="1"/>
    <x v="0"/>
    <x v="1"/>
    <x v="1"/>
    <x v="1"/>
    <x v="1"/>
    <x v="13"/>
    <x v="0"/>
    <x v="0"/>
    <n v="17"/>
    <x v="221"/>
  </r>
  <r>
    <s v="USR-100304"/>
    <d v="2025-02-12T00:00:00"/>
    <x v="0"/>
    <x v="3"/>
    <s v="Mobile"/>
    <x v="4"/>
    <x v="2"/>
    <x v="0"/>
    <x v="0"/>
    <x v="0"/>
    <x v="0"/>
    <x v="0"/>
    <x v="0"/>
    <x v="0"/>
    <m/>
    <x v="21"/>
  </r>
  <r>
    <s v="USR-100305"/>
    <d v="2025-01-05T00:00:00"/>
    <x v="0"/>
    <x v="3"/>
    <s v="Tablet"/>
    <x v="4"/>
    <x v="2"/>
    <x v="1"/>
    <x v="1"/>
    <x v="1"/>
    <x v="0"/>
    <x v="0"/>
    <x v="2"/>
    <x v="0"/>
    <m/>
    <x v="37"/>
  </r>
  <r>
    <s v="USR-100306"/>
    <d v="2025-05-19T00:00:00"/>
    <x v="0"/>
    <x v="1"/>
    <s v="Mobile"/>
    <x v="1"/>
    <x v="2"/>
    <x v="0"/>
    <x v="0"/>
    <x v="0"/>
    <x v="0"/>
    <x v="0"/>
    <x v="0"/>
    <x v="0"/>
    <m/>
    <x v="222"/>
  </r>
  <r>
    <s v="USR-100307"/>
    <d v="2025-02-02T00:00:00"/>
    <x v="0"/>
    <x v="0"/>
    <s v="Mobile"/>
    <x v="4"/>
    <x v="1"/>
    <x v="1"/>
    <x v="0"/>
    <x v="0"/>
    <x v="0"/>
    <x v="0"/>
    <x v="0"/>
    <x v="0"/>
    <m/>
    <x v="223"/>
  </r>
  <r>
    <s v="USR-100308"/>
    <d v="2025-01-30T00:00:00"/>
    <x v="0"/>
    <x v="1"/>
    <s v="Tablet"/>
    <x v="2"/>
    <x v="1"/>
    <x v="1"/>
    <x v="1"/>
    <x v="1"/>
    <x v="1"/>
    <x v="14"/>
    <x v="0"/>
    <x v="0"/>
    <n v="10"/>
    <x v="224"/>
  </r>
  <r>
    <s v="USR-100309"/>
    <d v="2025-05-01T00:00:00"/>
    <x v="0"/>
    <x v="3"/>
    <s v="Desktop"/>
    <x v="0"/>
    <x v="1"/>
    <x v="0"/>
    <x v="0"/>
    <x v="0"/>
    <x v="0"/>
    <x v="0"/>
    <x v="0"/>
    <x v="0"/>
    <m/>
    <x v="225"/>
  </r>
  <r>
    <s v="USR-100310"/>
    <d v="2025-05-16T00:00:00"/>
    <x v="0"/>
    <x v="3"/>
    <s v="Desktop"/>
    <x v="3"/>
    <x v="0"/>
    <x v="1"/>
    <x v="0"/>
    <x v="0"/>
    <x v="0"/>
    <x v="0"/>
    <x v="0"/>
    <x v="0"/>
    <m/>
    <x v="226"/>
  </r>
  <r>
    <s v="USR-100311"/>
    <d v="2025-03-08T00:00:00"/>
    <x v="0"/>
    <x v="1"/>
    <s v="Mobile"/>
    <x v="1"/>
    <x v="1"/>
    <x v="0"/>
    <x v="0"/>
    <x v="0"/>
    <x v="0"/>
    <x v="0"/>
    <x v="0"/>
    <x v="0"/>
    <m/>
    <x v="227"/>
  </r>
  <r>
    <s v="USR-100312"/>
    <d v="2025-04-04T00:00:00"/>
    <x v="0"/>
    <x v="0"/>
    <s v="Mobile"/>
    <x v="1"/>
    <x v="0"/>
    <x v="1"/>
    <x v="0"/>
    <x v="0"/>
    <x v="0"/>
    <x v="0"/>
    <x v="0"/>
    <x v="0"/>
    <m/>
    <x v="102"/>
  </r>
  <r>
    <s v="USR-100313"/>
    <d v="2025-05-30T00:00:00"/>
    <x v="0"/>
    <x v="3"/>
    <s v="Tablet"/>
    <x v="1"/>
    <x v="1"/>
    <x v="1"/>
    <x v="0"/>
    <x v="0"/>
    <x v="0"/>
    <x v="0"/>
    <x v="0"/>
    <x v="0"/>
    <m/>
    <x v="76"/>
  </r>
  <r>
    <s v="USR-100314"/>
    <d v="2025-01-05T00:00:00"/>
    <x v="0"/>
    <x v="1"/>
    <s v="Mobile"/>
    <x v="1"/>
    <x v="2"/>
    <x v="0"/>
    <x v="0"/>
    <x v="0"/>
    <x v="0"/>
    <x v="0"/>
    <x v="0"/>
    <x v="0"/>
    <m/>
    <x v="68"/>
  </r>
  <r>
    <s v="USR-100315"/>
    <d v="2025-01-20T00:00:00"/>
    <x v="0"/>
    <x v="2"/>
    <s v="Mobile"/>
    <x v="1"/>
    <x v="1"/>
    <x v="1"/>
    <x v="1"/>
    <x v="1"/>
    <x v="0"/>
    <x v="0"/>
    <x v="0"/>
    <x v="0"/>
    <m/>
    <x v="50"/>
  </r>
  <r>
    <s v="USR-100316"/>
    <d v="2025-05-01T00:00:00"/>
    <x v="0"/>
    <x v="2"/>
    <s v="Mobile"/>
    <x v="0"/>
    <x v="1"/>
    <x v="0"/>
    <x v="0"/>
    <x v="0"/>
    <x v="0"/>
    <x v="0"/>
    <x v="0"/>
    <x v="0"/>
    <m/>
    <x v="145"/>
  </r>
  <r>
    <s v="USR-100317"/>
    <d v="2025-03-05T00:00:00"/>
    <x v="0"/>
    <x v="0"/>
    <s v="Desktop"/>
    <x v="1"/>
    <x v="2"/>
    <x v="0"/>
    <x v="0"/>
    <x v="0"/>
    <x v="0"/>
    <x v="0"/>
    <x v="0"/>
    <x v="0"/>
    <m/>
    <x v="9"/>
  </r>
  <r>
    <s v="USR-100318"/>
    <d v="2025-04-01T00:00:00"/>
    <x v="0"/>
    <x v="2"/>
    <s v="Desktop"/>
    <x v="3"/>
    <x v="1"/>
    <x v="1"/>
    <x v="0"/>
    <x v="0"/>
    <x v="0"/>
    <x v="0"/>
    <x v="0"/>
    <x v="0"/>
    <m/>
    <x v="151"/>
  </r>
  <r>
    <s v="USR-100319"/>
    <d v="2025-05-03T00:00:00"/>
    <x v="0"/>
    <x v="0"/>
    <s v="Mobile"/>
    <x v="1"/>
    <x v="1"/>
    <x v="1"/>
    <x v="0"/>
    <x v="0"/>
    <x v="0"/>
    <x v="0"/>
    <x v="0"/>
    <x v="0"/>
    <m/>
    <x v="154"/>
  </r>
  <r>
    <s v="USR-100320"/>
    <d v="2025-03-06T00:00:00"/>
    <x v="0"/>
    <x v="3"/>
    <s v="Desktop"/>
    <x v="2"/>
    <x v="2"/>
    <x v="1"/>
    <x v="0"/>
    <x v="0"/>
    <x v="0"/>
    <x v="0"/>
    <x v="0"/>
    <x v="0"/>
    <m/>
    <x v="228"/>
  </r>
  <r>
    <s v="USR-100321"/>
    <d v="2025-04-01T00:00:00"/>
    <x v="0"/>
    <x v="0"/>
    <s v="Desktop"/>
    <x v="3"/>
    <x v="2"/>
    <x v="0"/>
    <x v="0"/>
    <x v="0"/>
    <x v="0"/>
    <x v="0"/>
    <x v="0"/>
    <x v="0"/>
    <m/>
    <x v="0"/>
  </r>
  <r>
    <s v="USR-100322"/>
    <d v="2025-02-09T00:00:00"/>
    <x v="0"/>
    <x v="0"/>
    <s v="Desktop"/>
    <x v="4"/>
    <x v="0"/>
    <x v="1"/>
    <x v="0"/>
    <x v="0"/>
    <x v="0"/>
    <x v="0"/>
    <x v="2"/>
    <x v="0"/>
    <m/>
    <x v="14"/>
  </r>
  <r>
    <s v="USR-100323"/>
    <d v="2025-04-12T00:00:00"/>
    <x v="0"/>
    <x v="1"/>
    <s v="Mobile"/>
    <x v="1"/>
    <x v="0"/>
    <x v="1"/>
    <x v="1"/>
    <x v="0"/>
    <x v="0"/>
    <x v="0"/>
    <x v="0"/>
    <x v="0"/>
    <m/>
    <x v="229"/>
  </r>
  <r>
    <s v="USR-100324"/>
    <d v="2025-03-18T00:00:00"/>
    <x v="0"/>
    <x v="2"/>
    <s v="Mobile"/>
    <x v="4"/>
    <x v="1"/>
    <x v="1"/>
    <x v="1"/>
    <x v="1"/>
    <x v="0"/>
    <x v="0"/>
    <x v="0"/>
    <x v="0"/>
    <m/>
    <x v="230"/>
  </r>
  <r>
    <s v="USR-100325"/>
    <d v="2025-04-03T00:00:00"/>
    <x v="0"/>
    <x v="2"/>
    <s v="Mobile"/>
    <x v="2"/>
    <x v="1"/>
    <x v="1"/>
    <x v="0"/>
    <x v="0"/>
    <x v="0"/>
    <x v="0"/>
    <x v="0"/>
    <x v="0"/>
    <m/>
    <x v="80"/>
  </r>
  <r>
    <s v="USR-100326"/>
    <d v="2025-04-02T00:00:00"/>
    <x v="0"/>
    <x v="1"/>
    <s v="Mobile"/>
    <x v="0"/>
    <x v="2"/>
    <x v="1"/>
    <x v="1"/>
    <x v="1"/>
    <x v="0"/>
    <x v="0"/>
    <x v="0"/>
    <x v="0"/>
    <m/>
    <x v="231"/>
  </r>
  <r>
    <s v="USR-100327"/>
    <d v="2025-05-10T00:00:00"/>
    <x v="0"/>
    <x v="1"/>
    <s v="Desktop"/>
    <x v="0"/>
    <x v="0"/>
    <x v="0"/>
    <x v="0"/>
    <x v="0"/>
    <x v="0"/>
    <x v="0"/>
    <x v="0"/>
    <x v="0"/>
    <m/>
    <x v="232"/>
  </r>
  <r>
    <s v="USR-100328"/>
    <d v="2025-04-29T00:00:00"/>
    <x v="0"/>
    <x v="1"/>
    <s v="Desktop"/>
    <x v="2"/>
    <x v="1"/>
    <x v="1"/>
    <x v="0"/>
    <x v="0"/>
    <x v="0"/>
    <x v="0"/>
    <x v="0"/>
    <x v="0"/>
    <m/>
    <x v="132"/>
  </r>
  <r>
    <s v="USR-100329"/>
    <d v="2025-02-27T00:00:00"/>
    <x v="0"/>
    <x v="3"/>
    <s v="Mobile"/>
    <x v="2"/>
    <x v="1"/>
    <x v="1"/>
    <x v="0"/>
    <x v="0"/>
    <x v="0"/>
    <x v="0"/>
    <x v="0"/>
    <x v="0"/>
    <m/>
    <x v="233"/>
  </r>
  <r>
    <s v="USR-100330"/>
    <d v="2025-04-10T00:00:00"/>
    <x v="0"/>
    <x v="0"/>
    <s v="Desktop"/>
    <x v="1"/>
    <x v="2"/>
    <x v="0"/>
    <x v="0"/>
    <x v="0"/>
    <x v="0"/>
    <x v="0"/>
    <x v="0"/>
    <x v="0"/>
    <m/>
    <x v="117"/>
  </r>
  <r>
    <s v="USR-100331"/>
    <d v="2025-02-13T00:00:00"/>
    <x v="0"/>
    <x v="2"/>
    <s v="Mobile"/>
    <x v="1"/>
    <x v="1"/>
    <x v="1"/>
    <x v="1"/>
    <x v="1"/>
    <x v="1"/>
    <x v="15"/>
    <x v="1"/>
    <x v="0"/>
    <n v="14"/>
    <x v="234"/>
  </r>
  <r>
    <s v="USR-100332"/>
    <d v="2025-05-03T00:00:00"/>
    <x v="0"/>
    <x v="0"/>
    <s v="Mobile"/>
    <x v="1"/>
    <x v="0"/>
    <x v="1"/>
    <x v="0"/>
    <x v="0"/>
    <x v="0"/>
    <x v="0"/>
    <x v="0"/>
    <x v="0"/>
    <m/>
    <x v="235"/>
  </r>
  <r>
    <s v="USR-100333"/>
    <d v="2025-03-10T00:00:00"/>
    <x v="0"/>
    <x v="2"/>
    <s v="Mobile"/>
    <x v="1"/>
    <x v="0"/>
    <x v="0"/>
    <x v="0"/>
    <x v="0"/>
    <x v="0"/>
    <x v="0"/>
    <x v="0"/>
    <x v="0"/>
    <m/>
    <x v="236"/>
  </r>
  <r>
    <s v="USR-100334"/>
    <d v="2025-01-10T00:00:00"/>
    <x v="0"/>
    <x v="1"/>
    <s v="Tablet"/>
    <x v="4"/>
    <x v="1"/>
    <x v="1"/>
    <x v="0"/>
    <x v="0"/>
    <x v="0"/>
    <x v="0"/>
    <x v="0"/>
    <x v="0"/>
    <m/>
    <x v="237"/>
  </r>
  <r>
    <s v="USR-100335"/>
    <d v="2025-01-16T00:00:00"/>
    <x v="0"/>
    <x v="3"/>
    <s v="Mobile"/>
    <x v="0"/>
    <x v="0"/>
    <x v="1"/>
    <x v="1"/>
    <x v="1"/>
    <x v="1"/>
    <x v="16"/>
    <x v="0"/>
    <x v="0"/>
    <n v="9"/>
    <x v="72"/>
  </r>
  <r>
    <s v="USR-100336"/>
    <d v="2025-02-11T00:00:00"/>
    <x v="0"/>
    <x v="3"/>
    <s v="Desktop"/>
    <x v="1"/>
    <x v="2"/>
    <x v="1"/>
    <x v="1"/>
    <x v="1"/>
    <x v="1"/>
    <x v="17"/>
    <x v="0"/>
    <x v="0"/>
    <n v="10"/>
    <x v="63"/>
  </r>
  <r>
    <s v="USR-100337"/>
    <d v="2025-04-13T00:00:00"/>
    <x v="0"/>
    <x v="1"/>
    <s v="Mobile"/>
    <x v="1"/>
    <x v="1"/>
    <x v="0"/>
    <x v="0"/>
    <x v="0"/>
    <x v="0"/>
    <x v="0"/>
    <x v="0"/>
    <x v="0"/>
    <m/>
    <x v="238"/>
  </r>
  <r>
    <s v="USR-100338"/>
    <d v="2025-02-08T00:00:00"/>
    <x v="0"/>
    <x v="2"/>
    <s v="Mobile"/>
    <x v="2"/>
    <x v="1"/>
    <x v="1"/>
    <x v="1"/>
    <x v="1"/>
    <x v="0"/>
    <x v="0"/>
    <x v="0"/>
    <x v="0"/>
    <m/>
    <x v="239"/>
  </r>
  <r>
    <s v="USR-100339"/>
    <d v="2025-03-31T00:00:00"/>
    <x v="0"/>
    <x v="1"/>
    <s v="Desktop"/>
    <x v="3"/>
    <x v="1"/>
    <x v="1"/>
    <x v="0"/>
    <x v="0"/>
    <x v="0"/>
    <x v="0"/>
    <x v="0"/>
    <x v="0"/>
    <m/>
    <x v="240"/>
  </r>
  <r>
    <s v="USR-100340"/>
    <d v="2025-01-31T00:00:00"/>
    <x v="0"/>
    <x v="1"/>
    <s v="Desktop"/>
    <x v="3"/>
    <x v="1"/>
    <x v="1"/>
    <x v="1"/>
    <x v="0"/>
    <x v="0"/>
    <x v="0"/>
    <x v="0"/>
    <x v="0"/>
    <m/>
    <x v="47"/>
  </r>
  <r>
    <s v="USR-100341"/>
    <d v="2025-05-08T00:00:00"/>
    <x v="0"/>
    <x v="1"/>
    <s v="Tablet"/>
    <x v="1"/>
    <x v="1"/>
    <x v="0"/>
    <x v="0"/>
    <x v="0"/>
    <x v="0"/>
    <x v="0"/>
    <x v="0"/>
    <x v="0"/>
    <m/>
    <x v="241"/>
  </r>
  <r>
    <s v="USR-100342"/>
    <d v="2025-03-15T00:00:00"/>
    <x v="0"/>
    <x v="0"/>
    <s v="Mobile"/>
    <x v="2"/>
    <x v="1"/>
    <x v="1"/>
    <x v="0"/>
    <x v="0"/>
    <x v="0"/>
    <x v="0"/>
    <x v="1"/>
    <x v="0"/>
    <m/>
    <x v="242"/>
  </r>
  <r>
    <s v="USR-100343"/>
    <d v="2025-01-13T00:00:00"/>
    <x v="0"/>
    <x v="3"/>
    <s v="Mobile"/>
    <x v="3"/>
    <x v="0"/>
    <x v="1"/>
    <x v="0"/>
    <x v="0"/>
    <x v="0"/>
    <x v="0"/>
    <x v="0"/>
    <x v="0"/>
    <m/>
    <x v="243"/>
  </r>
  <r>
    <s v="USR-100344"/>
    <d v="2025-03-07T00:00:00"/>
    <x v="0"/>
    <x v="3"/>
    <s v="Tablet"/>
    <x v="1"/>
    <x v="0"/>
    <x v="1"/>
    <x v="0"/>
    <x v="0"/>
    <x v="0"/>
    <x v="0"/>
    <x v="0"/>
    <x v="0"/>
    <m/>
    <x v="244"/>
  </r>
  <r>
    <s v="USR-100345"/>
    <d v="2025-02-10T00:00:00"/>
    <x v="0"/>
    <x v="3"/>
    <s v="Mobile"/>
    <x v="4"/>
    <x v="2"/>
    <x v="1"/>
    <x v="1"/>
    <x v="0"/>
    <x v="0"/>
    <x v="0"/>
    <x v="0"/>
    <x v="0"/>
    <m/>
    <x v="62"/>
  </r>
  <r>
    <s v="USR-100346"/>
    <d v="2025-03-12T00:00:00"/>
    <x v="0"/>
    <x v="2"/>
    <s v="Mobile"/>
    <x v="2"/>
    <x v="1"/>
    <x v="0"/>
    <x v="0"/>
    <x v="0"/>
    <x v="0"/>
    <x v="0"/>
    <x v="0"/>
    <x v="0"/>
    <m/>
    <x v="157"/>
  </r>
  <r>
    <s v="USR-100347"/>
    <d v="2025-01-03T00:00:00"/>
    <x v="0"/>
    <x v="3"/>
    <s v="Desktop"/>
    <x v="2"/>
    <x v="1"/>
    <x v="0"/>
    <x v="0"/>
    <x v="0"/>
    <x v="0"/>
    <x v="0"/>
    <x v="1"/>
    <x v="0"/>
    <m/>
    <x v="245"/>
  </r>
  <r>
    <s v="USR-100348"/>
    <d v="2025-04-28T00:00:00"/>
    <x v="0"/>
    <x v="0"/>
    <s v="Tablet"/>
    <x v="4"/>
    <x v="0"/>
    <x v="1"/>
    <x v="0"/>
    <x v="0"/>
    <x v="0"/>
    <x v="0"/>
    <x v="0"/>
    <x v="0"/>
    <m/>
    <x v="246"/>
  </r>
  <r>
    <s v="USR-100349"/>
    <d v="2025-04-17T00:00:00"/>
    <x v="0"/>
    <x v="2"/>
    <s v="Mobile"/>
    <x v="1"/>
    <x v="1"/>
    <x v="0"/>
    <x v="0"/>
    <x v="0"/>
    <x v="0"/>
    <x v="0"/>
    <x v="0"/>
    <x v="0"/>
    <m/>
    <x v="207"/>
  </r>
  <r>
    <s v="USR-100350"/>
    <d v="2025-05-23T00:00:00"/>
    <x v="0"/>
    <x v="3"/>
    <s v="Desktop"/>
    <x v="4"/>
    <x v="0"/>
    <x v="1"/>
    <x v="0"/>
    <x v="0"/>
    <x v="0"/>
    <x v="0"/>
    <x v="0"/>
    <x v="0"/>
    <m/>
    <x v="247"/>
  </r>
  <r>
    <s v="USR-100351"/>
    <d v="2025-02-19T00:00:00"/>
    <x v="0"/>
    <x v="1"/>
    <s v="Tablet"/>
    <x v="3"/>
    <x v="0"/>
    <x v="1"/>
    <x v="0"/>
    <x v="0"/>
    <x v="0"/>
    <x v="0"/>
    <x v="0"/>
    <x v="0"/>
    <m/>
    <x v="248"/>
  </r>
  <r>
    <s v="USR-100352"/>
    <d v="2025-01-18T00:00:00"/>
    <x v="0"/>
    <x v="3"/>
    <s v="Desktop"/>
    <x v="1"/>
    <x v="1"/>
    <x v="1"/>
    <x v="1"/>
    <x v="0"/>
    <x v="0"/>
    <x v="0"/>
    <x v="1"/>
    <x v="0"/>
    <m/>
    <x v="208"/>
  </r>
  <r>
    <s v="USR-100353"/>
    <d v="2025-04-17T00:00:00"/>
    <x v="0"/>
    <x v="0"/>
    <s v="Mobile"/>
    <x v="1"/>
    <x v="1"/>
    <x v="0"/>
    <x v="0"/>
    <x v="0"/>
    <x v="0"/>
    <x v="0"/>
    <x v="0"/>
    <x v="0"/>
    <m/>
    <x v="14"/>
  </r>
  <r>
    <s v="USR-100354"/>
    <d v="2025-04-12T00:00:00"/>
    <x v="0"/>
    <x v="2"/>
    <s v="Tablet"/>
    <x v="4"/>
    <x v="1"/>
    <x v="1"/>
    <x v="1"/>
    <x v="1"/>
    <x v="0"/>
    <x v="0"/>
    <x v="0"/>
    <x v="0"/>
    <m/>
    <x v="3"/>
  </r>
  <r>
    <s v="USR-100355"/>
    <d v="2025-05-16T00:00:00"/>
    <x v="0"/>
    <x v="2"/>
    <s v="Mobile"/>
    <x v="0"/>
    <x v="1"/>
    <x v="1"/>
    <x v="1"/>
    <x v="0"/>
    <x v="0"/>
    <x v="0"/>
    <x v="0"/>
    <x v="0"/>
    <m/>
    <x v="249"/>
  </r>
  <r>
    <s v="USR-100356"/>
    <d v="2025-03-24T00:00:00"/>
    <x v="0"/>
    <x v="1"/>
    <s v="Mobile"/>
    <x v="4"/>
    <x v="1"/>
    <x v="0"/>
    <x v="0"/>
    <x v="0"/>
    <x v="0"/>
    <x v="0"/>
    <x v="0"/>
    <x v="0"/>
    <m/>
    <x v="250"/>
  </r>
  <r>
    <s v="USR-100357"/>
    <d v="2025-02-16T00:00:00"/>
    <x v="0"/>
    <x v="1"/>
    <s v="Mobile"/>
    <x v="1"/>
    <x v="0"/>
    <x v="0"/>
    <x v="0"/>
    <x v="0"/>
    <x v="0"/>
    <x v="0"/>
    <x v="0"/>
    <x v="0"/>
    <m/>
    <x v="251"/>
  </r>
  <r>
    <s v="USR-100358"/>
    <d v="2025-03-19T00:00:00"/>
    <x v="0"/>
    <x v="0"/>
    <s v="Tablet"/>
    <x v="1"/>
    <x v="1"/>
    <x v="1"/>
    <x v="1"/>
    <x v="1"/>
    <x v="0"/>
    <x v="0"/>
    <x v="0"/>
    <x v="0"/>
    <m/>
    <x v="252"/>
  </r>
  <r>
    <s v="USR-100359"/>
    <d v="2025-04-21T00:00:00"/>
    <x v="0"/>
    <x v="3"/>
    <s v="Mobile"/>
    <x v="1"/>
    <x v="0"/>
    <x v="1"/>
    <x v="1"/>
    <x v="1"/>
    <x v="0"/>
    <x v="0"/>
    <x v="0"/>
    <x v="0"/>
    <m/>
    <x v="49"/>
  </r>
  <r>
    <s v="USR-100360"/>
    <d v="2025-01-11T00:00:00"/>
    <x v="0"/>
    <x v="1"/>
    <s v="Mobile"/>
    <x v="1"/>
    <x v="1"/>
    <x v="0"/>
    <x v="0"/>
    <x v="0"/>
    <x v="0"/>
    <x v="0"/>
    <x v="0"/>
    <x v="0"/>
    <m/>
    <x v="253"/>
  </r>
  <r>
    <s v="USR-100361"/>
    <d v="2025-04-24T00:00:00"/>
    <x v="0"/>
    <x v="1"/>
    <s v="Desktop"/>
    <x v="1"/>
    <x v="1"/>
    <x v="1"/>
    <x v="1"/>
    <x v="0"/>
    <x v="0"/>
    <x v="0"/>
    <x v="0"/>
    <x v="0"/>
    <m/>
    <x v="254"/>
  </r>
  <r>
    <s v="USR-100362"/>
    <d v="2025-03-13T00:00:00"/>
    <x v="0"/>
    <x v="0"/>
    <s v="Mobile"/>
    <x v="4"/>
    <x v="2"/>
    <x v="1"/>
    <x v="1"/>
    <x v="1"/>
    <x v="0"/>
    <x v="0"/>
    <x v="0"/>
    <x v="0"/>
    <m/>
    <x v="160"/>
  </r>
  <r>
    <s v="USR-100363"/>
    <d v="2025-01-30T00:00:00"/>
    <x v="0"/>
    <x v="0"/>
    <s v="Mobile"/>
    <x v="4"/>
    <x v="0"/>
    <x v="0"/>
    <x v="0"/>
    <x v="0"/>
    <x v="0"/>
    <x v="0"/>
    <x v="0"/>
    <x v="0"/>
    <m/>
    <x v="105"/>
  </r>
  <r>
    <s v="USR-100364"/>
    <d v="2025-05-08T00:00:00"/>
    <x v="0"/>
    <x v="3"/>
    <s v="Mobile"/>
    <x v="4"/>
    <x v="0"/>
    <x v="1"/>
    <x v="1"/>
    <x v="1"/>
    <x v="0"/>
    <x v="0"/>
    <x v="0"/>
    <x v="0"/>
    <m/>
    <x v="255"/>
  </r>
  <r>
    <s v="USR-100365"/>
    <d v="2025-01-08T00:00:00"/>
    <x v="0"/>
    <x v="2"/>
    <s v="Desktop"/>
    <x v="4"/>
    <x v="1"/>
    <x v="1"/>
    <x v="0"/>
    <x v="0"/>
    <x v="0"/>
    <x v="0"/>
    <x v="0"/>
    <x v="0"/>
    <m/>
    <x v="155"/>
  </r>
  <r>
    <s v="USR-100366"/>
    <d v="2025-05-03T00:00:00"/>
    <x v="0"/>
    <x v="3"/>
    <s v="Mobile"/>
    <x v="1"/>
    <x v="1"/>
    <x v="1"/>
    <x v="0"/>
    <x v="0"/>
    <x v="0"/>
    <x v="0"/>
    <x v="0"/>
    <x v="0"/>
    <m/>
    <x v="256"/>
  </r>
  <r>
    <s v="USR-100367"/>
    <d v="2025-02-12T00:00:00"/>
    <x v="0"/>
    <x v="2"/>
    <s v="Mobile"/>
    <x v="2"/>
    <x v="1"/>
    <x v="1"/>
    <x v="1"/>
    <x v="1"/>
    <x v="0"/>
    <x v="0"/>
    <x v="0"/>
    <x v="0"/>
    <m/>
    <x v="28"/>
  </r>
  <r>
    <s v="USR-100368"/>
    <d v="2025-02-25T00:00:00"/>
    <x v="0"/>
    <x v="3"/>
    <s v="Tablet"/>
    <x v="1"/>
    <x v="1"/>
    <x v="0"/>
    <x v="0"/>
    <x v="0"/>
    <x v="0"/>
    <x v="0"/>
    <x v="0"/>
    <x v="0"/>
    <m/>
    <x v="59"/>
  </r>
  <r>
    <s v="USR-100369"/>
    <d v="2025-04-14T00:00:00"/>
    <x v="0"/>
    <x v="3"/>
    <s v="Mobile"/>
    <x v="3"/>
    <x v="1"/>
    <x v="1"/>
    <x v="1"/>
    <x v="1"/>
    <x v="0"/>
    <x v="0"/>
    <x v="0"/>
    <x v="0"/>
    <m/>
    <x v="257"/>
  </r>
  <r>
    <s v="USR-100370"/>
    <d v="2025-01-08T00:00:00"/>
    <x v="0"/>
    <x v="0"/>
    <s v="Mobile"/>
    <x v="3"/>
    <x v="2"/>
    <x v="1"/>
    <x v="1"/>
    <x v="1"/>
    <x v="0"/>
    <x v="0"/>
    <x v="1"/>
    <x v="0"/>
    <m/>
    <x v="46"/>
  </r>
  <r>
    <s v="USR-100371"/>
    <d v="2025-03-14T00:00:00"/>
    <x v="0"/>
    <x v="2"/>
    <s v="Mobile"/>
    <x v="0"/>
    <x v="1"/>
    <x v="0"/>
    <x v="0"/>
    <x v="0"/>
    <x v="0"/>
    <x v="0"/>
    <x v="0"/>
    <x v="0"/>
    <m/>
    <x v="258"/>
  </r>
  <r>
    <s v="USR-100372"/>
    <d v="2025-04-29T00:00:00"/>
    <x v="0"/>
    <x v="0"/>
    <s v="Desktop"/>
    <x v="2"/>
    <x v="2"/>
    <x v="1"/>
    <x v="0"/>
    <x v="0"/>
    <x v="0"/>
    <x v="0"/>
    <x v="0"/>
    <x v="0"/>
    <m/>
    <x v="207"/>
  </r>
  <r>
    <s v="USR-100373"/>
    <d v="2025-05-01T00:00:00"/>
    <x v="0"/>
    <x v="2"/>
    <s v="Desktop"/>
    <x v="4"/>
    <x v="1"/>
    <x v="1"/>
    <x v="0"/>
    <x v="0"/>
    <x v="0"/>
    <x v="0"/>
    <x v="0"/>
    <x v="0"/>
    <m/>
    <x v="259"/>
  </r>
  <r>
    <s v="USR-100374"/>
    <d v="2025-03-19T00:00:00"/>
    <x v="0"/>
    <x v="0"/>
    <s v="Mobile"/>
    <x v="3"/>
    <x v="1"/>
    <x v="1"/>
    <x v="0"/>
    <x v="0"/>
    <x v="0"/>
    <x v="0"/>
    <x v="0"/>
    <x v="0"/>
    <m/>
    <x v="260"/>
  </r>
  <r>
    <s v="USR-100375"/>
    <d v="2025-05-01T00:00:00"/>
    <x v="0"/>
    <x v="3"/>
    <s v="Desktop"/>
    <x v="4"/>
    <x v="0"/>
    <x v="1"/>
    <x v="1"/>
    <x v="1"/>
    <x v="0"/>
    <x v="0"/>
    <x v="0"/>
    <x v="0"/>
    <m/>
    <x v="261"/>
  </r>
  <r>
    <s v="USR-100376"/>
    <d v="2025-03-14T00:00:00"/>
    <x v="0"/>
    <x v="1"/>
    <s v="Mobile"/>
    <x v="1"/>
    <x v="1"/>
    <x v="1"/>
    <x v="1"/>
    <x v="0"/>
    <x v="0"/>
    <x v="0"/>
    <x v="0"/>
    <x v="0"/>
    <m/>
    <x v="114"/>
  </r>
  <r>
    <s v="USR-100377"/>
    <d v="2025-03-23T00:00:00"/>
    <x v="0"/>
    <x v="0"/>
    <s v="Mobile"/>
    <x v="2"/>
    <x v="1"/>
    <x v="0"/>
    <x v="0"/>
    <x v="0"/>
    <x v="0"/>
    <x v="0"/>
    <x v="0"/>
    <x v="0"/>
    <m/>
    <x v="262"/>
  </r>
  <r>
    <s v="USR-100378"/>
    <d v="2025-02-08T00:00:00"/>
    <x v="0"/>
    <x v="2"/>
    <s v="Mobile"/>
    <x v="3"/>
    <x v="0"/>
    <x v="1"/>
    <x v="1"/>
    <x v="1"/>
    <x v="0"/>
    <x v="0"/>
    <x v="0"/>
    <x v="0"/>
    <m/>
    <x v="263"/>
  </r>
  <r>
    <s v="USR-100379"/>
    <d v="2025-04-15T00:00:00"/>
    <x v="0"/>
    <x v="1"/>
    <s v="Tablet"/>
    <x v="2"/>
    <x v="0"/>
    <x v="1"/>
    <x v="0"/>
    <x v="0"/>
    <x v="0"/>
    <x v="0"/>
    <x v="1"/>
    <x v="0"/>
    <m/>
    <x v="166"/>
  </r>
  <r>
    <s v="USR-100380"/>
    <d v="2025-01-03T00:00:00"/>
    <x v="0"/>
    <x v="3"/>
    <s v="Desktop"/>
    <x v="2"/>
    <x v="0"/>
    <x v="1"/>
    <x v="0"/>
    <x v="0"/>
    <x v="0"/>
    <x v="0"/>
    <x v="0"/>
    <x v="0"/>
    <m/>
    <x v="264"/>
  </r>
  <r>
    <s v="USR-100381"/>
    <d v="2025-03-23T00:00:00"/>
    <x v="0"/>
    <x v="1"/>
    <s v="Mobile"/>
    <x v="4"/>
    <x v="1"/>
    <x v="1"/>
    <x v="1"/>
    <x v="1"/>
    <x v="0"/>
    <x v="0"/>
    <x v="0"/>
    <x v="0"/>
    <m/>
    <x v="265"/>
  </r>
  <r>
    <s v="USR-100382"/>
    <d v="2025-05-27T00:00:00"/>
    <x v="0"/>
    <x v="3"/>
    <s v="Mobile"/>
    <x v="3"/>
    <x v="2"/>
    <x v="1"/>
    <x v="0"/>
    <x v="0"/>
    <x v="0"/>
    <x v="0"/>
    <x v="0"/>
    <x v="0"/>
    <m/>
    <x v="250"/>
  </r>
  <r>
    <s v="USR-100383"/>
    <d v="2025-04-30T00:00:00"/>
    <x v="0"/>
    <x v="2"/>
    <s v="Mobile"/>
    <x v="1"/>
    <x v="1"/>
    <x v="1"/>
    <x v="0"/>
    <x v="0"/>
    <x v="0"/>
    <x v="0"/>
    <x v="0"/>
    <x v="0"/>
    <m/>
    <x v="266"/>
  </r>
  <r>
    <s v="USR-100384"/>
    <d v="2025-03-07T00:00:00"/>
    <x v="0"/>
    <x v="1"/>
    <s v="Mobile"/>
    <x v="4"/>
    <x v="0"/>
    <x v="1"/>
    <x v="0"/>
    <x v="0"/>
    <x v="0"/>
    <x v="0"/>
    <x v="0"/>
    <x v="0"/>
    <m/>
    <x v="13"/>
  </r>
  <r>
    <s v="USR-100385"/>
    <d v="2025-05-10T00:00:00"/>
    <x v="0"/>
    <x v="3"/>
    <s v="Mobile"/>
    <x v="1"/>
    <x v="0"/>
    <x v="1"/>
    <x v="1"/>
    <x v="1"/>
    <x v="0"/>
    <x v="0"/>
    <x v="0"/>
    <x v="0"/>
    <m/>
    <x v="16"/>
  </r>
  <r>
    <s v="USR-100386"/>
    <d v="2025-05-22T00:00:00"/>
    <x v="0"/>
    <x v="2"/>
    <s v="Mobile"/>
    <x v="1"/>
    <x v="1"/>
    <x v="0"/>
    <x v="0"/>
    <x v="0"/>
    <x v="0"/>
    <x v="0"/>
    <x v="2"/>
    <x v="0"/>
    <m/>
    <x v="71"/>
  </r>
  <r>
    <s v="USR-100387"/>
    <d v="2025-02-09T00:00:00"/>
    <x v="0"/>
    <x v="2"/>
    <s v="Mobile"/>
    <x v="2"/>
    <x v="1"/>
    <x v="1"/>
    <x v="1"/>
    <x v="0"/>
    <x v="0"/>
    <x v="0"/>
    <x v="0"/>
    <x v="0"/>
    <m/>
    <x v="267"/>
  </r>
  <r>
    <s v="USR-100388"/>
    <d v="2025-05-30T00:00:00"/>
    <x v="0"/>
    <x v="1"/>
    <s v="Desktop"/>
    <x v="1"/>
    <x v="2"/>
    <x v="1"/>
    <x v="0"/>
    <x v="0"/>
    <x v="0"/>
    <x v="0"/>
    <x v="1"/>
    <x v="0"/>
    <m/>
    <x v="268"/>
  </r>
  <r>
    <s v="USR-100389"/>
    <d v="2025-05-01T00:00:00"/>
    <x v="0"/>
    <x v="3"/>
    <s v="Mobile"/>
    <x v="1"/>
    <x v="2"/>
    <x v="1"/>
    <x v="0"/>
    <x v="0"/>
    <x v="0"/>
    <x v="0"/>
    <x v="0"/>
    <x v="0"/>
    <m/>
    <x v="94"/>
  </r>
  <r>
    <s v="USR-100390"/>
    <d v="2025-01-03T00:00:00"/>
    <x v="0"/>
    <x v="3"/>
    <s v="Mobile"/>
    <x v="2"/>
    <x v="1"/>
    <x v="1"/>
    <x v="0"/>
    <x v="0"/>
    <x v="0"/>
    <x v="0"/>
    <x v="0"/>
    <x v="0"/>
    <m/>
    <x v="269"/>
  </r>
  <r>
    <s v="USR-100391"/>
    <d v="2025-02-13T00:00:00"/>
    <x v="0"/>
    <x v="2"/>
    <s v="Mobile"/>
    <x v="1"/>
    <x v="1"/>
    <x v="0"/>
    <x v="0"/>
    <x v="0"/>
    <x v="0"/>
    <x v="0"/>
    <x v="0"/>
    <x v="0"/>
    <m/>
    <x v="53"/>
  </r>
  <r>
    <s v="USR-100392"/>
    <d v="2025-01-14T00:00:00"/>
    <x v="0"/>
    <x v="3"/>
    <s v="Desktop"/>
    <x v="1"/>
    <x v="1"/>
    <x v="0"/>
    <x v="0"/>
    <x v="0"/>
    <x v="0"/>
    <x v="0"/>
    <x v="2"/>
    <x v="0"/>
    <m/>
    <x v="169"/>
  </r>
  <r>
    <s v="USR-100393"/>
    <d v="2025-02-24T00:00:00"/>
    <x v="0"/>
    <x v="0"/>
    <s v="Mobile"/>
    <x v="3"/>
    <x v="1"/>
    <x v="0"/>
    <x v="0"/>
    <x v="0"/>
    <x v="0"/>
    <x v="0"/>
    <x v="0"/>
    <x v="0"/>
    <m/>
    <x v="32"/>
  </r>
  <r>
    <s v="USR-100394"/>
    <d v="2025-05-16T00:00:00"/>
    <x v="0"/>
    <x v="1"/>
    <s v="Desktop"/>
    <x v="1"/>
    <x v="0"/>
    <x v="1"/>
    <x v="1"/>
    <x v="0"/>
    <x v="0"/>
    <x v="0"/>
    <x v="0"/>
    <x v="0"/>
    <m/>
    <x v="63"/>
  </r>
  <r>
    <s v="USR-100395"/>
    <d v="2025-04-29T00:00:00"/>
    <x v="0"/>
    <x v="0"/>
    <s v="Mobile"/>
    <x v="2"/>
    <x v="1"/>
    <x v="1"/>
    <x v="1"/>
    <x v="1"/>
    <x v="0"/>
    <x v="0"/>
    <x v="0"/>
    <x v="0"/>
    <m/>
    <x v="165"/>
  </r>
  <r>
    <s v="USR-100396"/>
    <d v="2025-04-30T00:00:00"/>
    <x v="0"/>
    <x v="3"/>
    <s v="Desktop"/>
    <x v="0"/>
    <x v="0"/>
    <x v="1"/>
    <x v="0"/>
    <x v="0"/>
    <x v="0"/>
    <x v="0"/>
    <x v="0"/>
    <x v="0"/>
    <m/>
    <x v="103"/>
  </r>
  <r>
    <s v="USR-100397"/>
    <d v="2025-01-09T00:00:00"/>
    <x v="0"/>
    <x v="3"/>
    <s v="Desktop"/>
    <x v="1"/>
    <x v="1"/>
    <x v="1"/>
    <x v="1"/>
    <x v="0"/>
    <x v="0"/>
    <x v="0"/>
    <x v="0"/>
    <x v="0"/>
    <m/>
    <x v="49"/>
  </r>
  <r>
    <s v="USR-100398"/>
    <d v="2025-04-25T00:00:00"/>
    <x v="0"/>
    <x v="3"/>
    <s v="Mobile"/>
    <x v="1"/>
    <x v="1"/>
    <x v="1"/>
    <x v="1"/>
    <x v="0"/>
    <x v="0"/>
    <x v="0"/>
    <x v="0"/>
    <x v="0"/>
    <m/>
    <x v="270"/>
  </r>
  <r>
    <s v="USR-100399"/>
    <d v="2025-03-12T00:00:00"/>
    <x v="0"/>
    <x v="0"/>
    <s v="Desktop"/>
    <x v="2"/>
    <x v="1"/>
    <x v="1"/>
    <x v="0"/>
    <x v="0"/>
    <x v="0"/>
    <x v="0"/>
    <x v="0"/>
    <x v="0"/>
    <m/>
    <x v="185"/>
  </r>
  <r>
    <s v="USR-100400"/>
    <d v="2025-03-20T00:00:00"/>
    <x v="0"/>
    <x v="0"/>
    <s v="Mobile"/>
    <x v="1"/>
    <x v="1"/>
    <x v="1"/>
    <x v="1"/>
    <x v="0"/>
    <x v="0"/>
    <x v="0"/>
    <x v="0"/>
    <x v="0"/>
    <m/>
    <x v="271"/>
  </r>
  <r>
    <s v="USR-100401"/>
    <d v="2025-02-18T00:00:00"/>
    <x v="0"/>
    <x v="1"/>
    <s v="Mobile"/>
    <x v="2"/>
    <x v="1"/>
    <x v="1"/>
    <x v="0"/>
    <x v="0"/>
    <x v="0"/>
    <x v="0"/>
    <x v="0"/>
    <x v="0"/>
    <m/>
    <x v="80"/>
  </r>
  <r>
    <s v="USR-100402"/>
    <d v="2025-01-22T00:00:00"/>
    <x v="0"/>
    <x v="0"/>
    <s v="Mobile"/>
    <x v="4"/>
    <x v="0"/>
    <x v="0"/>
    <x v="0"/>
    <x v="0"/>
    <x v="0"/>
    <x v="0"/>
    <x v="0"/>
    <x v="0"/>
    <m/>
    <x v="207"/>
  </r>
  <r>
    <s v="USR-100403"/>
    <d v="2025-02-08T00:00:00"/>
    <x v="0"/>
    <x v="1"/>
    <s v="Mobile"/>
    <x v="0"/>
    <x v="0"/>
    <x v="1"/>
    <x v="1"/>
    <x v="1"/>
    <x v="0"/>
    <x v="0"/>
    <x v="0"/>
    <x v="0"/>
    <m/>
    <x v="272"/>
  </r>
  <r>
    <s v="USR-100404"/>
    <d v="2025-01-20T00:00:00"/>
    <x v="0"/>
    <x v="0"/>
    <s v="Mobile"/>
    <x v="0"/>
    <x v="2"/>
    <x v="0"/>
    <x v="0"/>
    <x v="0"/>
    <x v="0"/>
    <x v="0"/>
    <x v="1"/>
    <x v="0"/>
    <m/>
    <x v="181"/>
  </r>
  <r>
    <s v="USR-100405"/>
    <d v="2025-04-22T00:00:00"/>
    <x v="0"/>
    <x v="1"/>
    <s v="Desktop"/>
    <x v="3"/>
    <x v="1"/>
    <x v="1"/>
    <x v="0"/>
    <x v="0"/>
    <x v="0"/>
    <x v="0"/>
    <x v="0"/>
    <x v="0"/>
    <m/>
    <x v="273"/>
  </r>
  <r>
    <s v="USR-100406"/>
    <d v="2025-01-22T00:00:00"/>
    <x v="0"/>
    <x v="2"/>
    <s v="Mobile"/>
    <x v="1"/>
    <x v="0"/>
    <x v="1"/>
    <x v="1"/>
    <x v="0"/>
    <x v="0"/>
    <x v="0"/>
    <x v="0"/>
    <x v="0"/>
    <m/>
    <x v="274"/>
  </r>
  <r>
    <s v="USR-100407"/>
    <d v="2025-05-11T00:00:00"/>
    <x v="0"/>
    <x v="1"/>
    <s v="Mobile"/>
    <x v="1"/>
    <x v="0"/>
    <x v="1"/>
    <x v="0"/>
    <x v="0"/>
    <x v="0"/>
    <x v="0"/>
    <x v="0"/>
    <x v="0"/>
    <m/>
    <x v="19"/>
  </r>
  <r>
    <s v="USR-100408"/>
    <d v="2025-02-06T00:00:00"/>
    <x v="0"/>
    <x v="3"/>
    <s v="Mobile"/>
    <x v="1"/>
    <x v="0"/>
    <x v="0"/>
    <x v="0"/>
    <x v="0"/>
    <x v="0"/>
    <x v="0"/>
    <x v="1"/>
    <x v="0"/>
    <m/>
    <x v="74"/>
  </r>
  <r>
    <s v="USR-100409"/>
    <d v="2025-02-21T00:00:00"/>
    <x v="0"/>
    <x v="0"/>
    <s v="Desktop"/>
    <x v="1"/>
    <x v="2"/>
    <x v="1"/>
    <x v="0"/>
    <x v="0"/>
    <x v="0"/>
    <x v="0"/>
    <x v="0"/>
    <x v="0"/>
    <m/>
    <x v="256"/>
  </r>
  <r>
    <s v="USR-100410"/>
    <d v="2025-01-13T00:00:00"/>
    <x v="0"/>
    <x v="1"/>
    <s v="Mobile"/>
    <x v="0"/>
    <x v="2"/>
    <x v="1"/>
    <x v="1"/>
    <x v="1"/>
    <x v="0"/>
    <x v="0"/>
    <x v="0"/>
    <x v="0"/>
    <m/>
    <x v="173"/>
  </r>
  <r>
    <s v="USR-100411"/>
    <d v="2025-03-07T00:00:00"/>
    <x v="0"/>
    <x v="0"/>
    <s v="Mobile"/>
    <x v="3"/>
    <x v="2"/>
    <x v="1"/>
    <x v="1"/>
    <x v="1"/>
    <x v="1"/>
    <x v="18"/>
    <x v="0"/>
    <x v="0"/>
    <n v="6"/>
    <x v="192"/>
  </r>
  <r>
    <s v="USR-100412"/>
    <d v="2025-02-26T00:00:00"/>
    <x v="0"/>
    <x v="1"/>
    <s v="Desktop"/>
    <x v="1"/>
    <x v="0"/>
    <x v="1"/>
    <x v="1"/>
    <x v="0"/>
    <x v="0"/>
    <x v="0"/>
    <x v="0"/>
    <x v="0"/>
    <m/>
    <x v="12"/>
  </r>
  <r>
    <s v="USR-100413"/>
    <d v="2025-05-05T00:00:00"/>
    <x v="0"/>
    <x v="0"/>
    <s v="Mobile"/>
    <x v="3"/>
    <x v="2"/>
    <x v="1"/>
    <x v="0"/>
    <x v="0"/>
    <x v="0"/>
    <x v="0"/>
    <x v="0"/>
    <x v="0"/>
    <m/>
    <x v="275"/>
  </r>
  <r>
    <s v="USR-100414"/>
    <d v="2025-01-08T00:00:00"/>
    <x v="0"/>
    <x v="2"/>
    <s v="Desktop"/>
    <x v="1"/>
    <x v="0"/>
    <x v="0"/>
    <x v="0"/>
    <x v="0"/>
    <x v="0"/>
    <x v="0"/>
    <x v="1"/>
    <x v="0"/>
    <m/>
    <x v="276"/>
  </r>
  <r>
    <s v="USR-100415"/>
    <d v="2025-03-19T00:00:00"/>
    <x v="0"/>
    <x v="3"/>
    <s v="Mobile"/>
    <x v="0"/>
    <x v="2"/>
    <x v="1"/>
    <x v="1"/>
    <x v="1"/>
    <x v="0"/>
    <x v="0"/>
    <x v="0"/>
    <x v="0"/>
    <m/>
    <x v="277"/>
  </r>
  <r>
    <s v="USR-100416"/>
    <d v="2025-01-30T00:00:00"/>
    <x v="0"/>
    <x v="2"/>
    <s v="Desktop"/>
    <x v="2"/>
    <x v="1"/>
    <x v="1"/>
    <x v="1"/>
    <x v="1"/>
    <x v="0"/>
    <x v="0"/>
    <x v="2"/>
    <x v="0"/>
    <m/>
    <x v="45"/>
  </r>
  <r>
    <s v="USR-100417"/>
    <d v="2025-04-28T00:00:00"/>
    <x v="0"/>
    <x v="2"/>
    <s v="Mobile"/>
    <x v="1"/>
    <x v="0"/>
    <x v="1"/>
    <x v="0"/>
    <x v="0"/>
    <x v="0"/>
    <x v="0"/>
    <x v="0"/>
    <x v="0"/>
    <m/>
    <x v="47"/>
  </r>
  <r>
    <s v="USR-100418"/>
    <d v="2025-03-07T00:00:00"/>
    <x v="0"/>
    <x v="0"/>
    <s v="Mobile"/>
    <x v="3"/>
    <x v="0"/>
    <x v="0"/>
    <x v="0"/>
    <x v="0"/>
    <x v="0"/>
    <x v="0"/>
    <x v="0"/>
    <x v="0"/>
    <m/>
    <x v="278"/>
  </r>
  <r>
    <s v="USR-100419"/>
    <d v="2025-04-07T00:00:00"/>
    <x v="0"/>
    <x v="0"/>
    <s v="Desktop"/>
    <x v="1"/>
    <x v="1"/>
    <x v="0"/>
    <x v="0"/>
    <x v="0"/>
    <x v="0"/>
    <x v="0"/>
    <x v="0"/>
    <x v="0"/>
    <m/>
    <x v="236"/>
  </r>
  <r>
    <s v="USR-100420"/>
    <d v="2025-05-08T00:00:00"/>
    <x v="0"/>
    <x v="0"/>
    <s v="Desktop"/>
    <x v="1"/>
    <x v="2"/>
    <x v="1"/>
    <x v="0"/>
    <x v="0"/>
    <x v="0"/>
    <x v="0"/>
    <x v="0"/>
    <x v="0"/>
    <m/>
    <x v="227"/>
  </r>
  <r>
    <s v="USR-100421"/>
    <d v="2025-04-15T00:00:00"/>
    <x v="0"/>
    <x v="3"/>
    <s v="Mobile"/>
    <x v="0"/>
    <x v="1"/>
    <x v="1"/>
    <x v="0"/>
    <x v="0"/>
    <x v="0"/>
    <x v="0"/>
    <x v="0"/>
    <x v="0"/>
    <m/>
    <x v="101"/>
  </r>
  <r>
    <s v="USR-100422"/>
    <d v="2025-04-20T00:00:00"/>
    <x v="0"/>
    <x v="2"/>
    <s v="Desktop"/>
    <x v="4"/>
    <x v="1"/>
    <x v="1"/>
    <x v="0"/>
    <x v="0"/>
    <x v="0"/>
    <x v="0"/>
    <x v="0"/>
    <x v="0"/>
    <m/>
    <x v="213"/>
  </r>
  <r>
    <s v="USR-100423"/>
    <d v="2025-05-30T00:00:00"/>
    <x v="0"/>
    <x v="3"/>
    <s v="Tablet"/>
    <x v="1"/>
    <x v="1"/>
    <x v="0"/>
    <x v="0"/>
    <x v="0"/>
    <x v="0"/>
    <x v="0"/>
    <x v="0"/>
    <x v="0"/>
    <m/>
    <x v="90"/>
  </r>
  <r>
    <s v="USR-100424"/>
    <d v="2025-02-13T00:00:00"/>
    <x v="0"/>
    <x v="1"/>
    <s v="Mobile"/>
    <x v="3"/>
    <x v="1"/>
    <x v="0"/>
    <x v="0"/>
    <x v="0"/>
    <x v="0"/>
    <x v="0"/>
    <x v="0"/>
    <x v="0"/>
    <m/>
    <x v="41"/>
  </r>
  <r>
    <s v="USR-100425"/>
    <d v="2025-04-28T00:00:00"/>
    <x v="0"/>
    <x v="1"/>
    <s v="Mobile"/>
    <x v="4"/>
    <x v="1"/>
    <x v="1"/>
    <x v="0"/>
    <x v="0"/>
    <x v="0"/>
    <x v="0"/>
    <x v="0"/>
    <x v="0"/>
    <m/>
    <x v="279"/>
  </r>
  <r>
    <s v="USR-100426"/>
    <d v="2025-02-12T00:00:00"/>
    <x v="0"/>
    <x v="0"/>
    <s v="Mobile"/>
    <x v="2"/>
    <x v="0"/>
    <x v="1"/>
    <x v="0"/>
    <x v="0"/>
    <x v="0"/>
    <x v="0"/>
    <x v="1"/>
    <x v="0"/>
    <m/>
    <x v="280"/>
  </r>
  <r>
    <s v="USR-100427"/>
    <d v="2025-02-12T00:00:00"/>
    <x v="0"/>
    <x v="2"/>
    <s v="Mobile"/>
    <x v="1"/>
    <x v="1"/>
    <x v="0"/>
    <x v="0"/>
    <x v="0"/>
    <x v="0"/>
    <x v="0"/>
    <x v="2"/>
    <x v="0"/>
    <m/>
    <x v="140"/>
  </r>
  <r>
    <s v="USR-100428"/>
    <d v="2025-03-27T00:00:00"/>
    <x v="0"/>
    <x v="0"/>
    <s v="Mobile"/>
    <x v="0"/>
    <x v="2"/>
    <x v="1"/>
    <x v="0"/>
    <x v="0"/>
    <x v="0"/>
    <x v="0"/>
    <x v="0"/>
    <x v="0"/>
    <m/>
    <x v="281"/>
  </r>
  <r>
    <s v="USR-100429"/>
    <d v="2025-04-12T00:00:00"/>
    <x v="0"/>
    <x v="3"/>
    <s v="Desktop"/>
    <x v="1"/>
    <x v="1"/>
    <x v="0"/>
    <x v="0"/>
    <x v="0"/>
    <x v="0"/>
    <x v="0"/>
    <x v="0"/>
    <x v="0"/>
    <m/>
    <x v="238"/>
  </r>
  <r>
    <s v="USR-100430"/>
    <d v="2025-01-30T00:00:00"/>
    <x v="0"/>
    <x v="1"/>
    <s v="Mobile"/>
    <x v="4"/>
    <x v="1"/>
    <x v="0"/>
    <x v="0"/>
    <x v="0"/>
    <x v="0"/>
    <x v="0"/>
    <x v="0"/>
    <x v="0"/>
    <m/>
    <x v="61"/>
  </r>
  <r>
    <s v="USR-100431"/>
    <d v="2025-05-28T00:00:00"/>
    <x v="0"/>
    <x v="1"/>
    <s v="Mobile"/>
    <x v="4"/>
    <x v="2"/>
    <x v="0"/>
    <x v="0"/>
    <x v="0"/>
    <x v="0"/>
    <x v="0"/>
    <x v="1"/>
    <x v="0"/>
    <m/>
    <x v="282"/>
  </r>
  <r>
    <s v="USR-100432"/>
    <d v="2025-05-01T00:00:00"/>
    <x v="0"/>
    <x v="3"/>
    <s v="Mobile"/>
    <x v="1"/>
    <x v="0"/>
    <x v="1"/>
    <x v="1"/>
    <x v="0"/>
    <x v="0"/>
    <x v="0"/>
    <x v="0"/>
    <x v="0"/>
    <m/>
    <x v="218"/>
  </r>
  <r>
    <s v="USR-100433"/>
    <d v="2025-02-03T00:00:00"/>
    <x v="0"/>
    <x v="0"/>
    <s v="Tablet"/>
    <x v="0"/>
    <x v="0"/>
    <x v="1"/>
    <x v="0"/>
    <x v="0"/>
    <x v="0"/>
    <x v="0"/>
    <x v="0"/>
    <x v="0"/>
    <m/>
    <x v="19"/>
  </r>
  <r>
    <s v="USR-100434"/>
    <d v="2025-01-10T00:00:00"/>
    <x v="0"/>
    <x v="3"/>
    <s v="Desktop"/>
    <x v="4"/>
    <x v="0"/>
    <x v="0"/>
    <x v="0"/>
    <x v="0"/>
    <x v="0"/>
    <x v="0"/>
    <x v="0"/>
    <x v="0"/>
    <m/>
    <x v="283"/>
  </r>
  <r>
    <s v="USR-100435"/>
    <d v="2025-05-02T00:00:00"/>
    <x v="0"/>
    <x v="0"/>
    <s v="Desktop"/>
    <x v="1"/>
    <x v="0"/>
    <x v="1"/>
    <x v="0"/>
    <x v="0"/>
    <x v="0"/>
    <x v="0"/>
    <x v="0"/>
    <x v="0"/>
    <m/>
    <x v="254"/>
  </r>
  <r>
    <s v="USR-100436"/>
    <d v="2025-05-26T00:00:00"/>
    <x v="0"/>
    <x v="0"/>
    <s v="Desktop"/>
    <x v="1"/>
    <x v="0"/>
    <x v="1"/>
    <x v="0"/>
    <x v="0"/>
    <x v="0"/>
    <x v="0"/>
    <x v="0"/>
    <x v="0"/>
    <m/>
    <x v="284"/>
  </r>
  <r>
    <s v="USR-100437"/>
    <d v="2025-01-12T00:00:00"/>
    <x v="0"/>
    <x v="1"/>
    <s v="Mobile"/>
    <x v="1"/>
    <x v="0"/>
    <x v="1"/>
    <x v="0"/>
    <x v="0"/>
    <x v="0"/>
    <x v="0"/>
    <x v="0"/>
    <x v="0"/>
    <m/>
    <x v="191"/>
  </r>
  <r>
    <s v="USR-100438"/>
    <d v="2025-05-27T00:00:00"/>
    <x v="0"/>
    <x v="2"/>
    <s v="Mobile"/>
    <x v="2"/>
    <x v="0"/>
    <x v="1"/>
    <x v="1"/>
    <x v="1"/>
    <x v="0"/>
    <x v="0"/>
    <x v="0"/>
    <x v="0"/>
    <m/>
    <x v="285"/>
  </r>
  <r>
    <s v="USR-100439"/>
    <d v="2025-05-22T00:00:00"/>
    <x v="0"/>
    <x v="1"/>
    <s v="Desktop"/>
    <x v="0"/>
    <x v="0"/>
    <x v="0"/>
    <x v="0"/>
    <x v="0"/>
    <x v="0"/>
    <x v="0"/>
    <x v="0"/>
    <x v="0"/>
    <m/>
    <x v="286"/>
  </r>
  <r>
    <s v="USR-100440"/>
    <d v="2025-04-01T00:00:00"/>
    <x v="0"/>
    <x v="2"/>
    <s v="Mobile"/>
    <x v="4"/>
    <x v="2"/>
    <x v="1"/>
    <x v="1"/>
    <x v="1"/>
    <x v="1"/>
    <x v="19"/>
    <x v="0"/>
    <x v="0"/>
    <n v="9"/>
    <x v="268"/>
  </r>
  <r>
    <s v="USR-100441"/>
    <d v="2025-01-22T00:00:00"/>
    <x v="0"/>
    <x v="0"/>
    <s v="Mobile"/>
    <x v="2"/>
    <x v="0"/>
    <x v="1"/>
    <x v="1"/>
    <x v="1"/>
    <x v="0"/>
    <x v="0"/>
    <x v="0"/>
    <x v="0"/>
    <m/>
    <x v="169"/>
  </r>
  <r>
    <s v="USR-100442"/>
    <d v="2025-05-24T00:00:00"/>
    <x v="0"/>
    <x v="2"/>
    <s v="Mobile"/>
    <x v="2"/>
    <x v="0"/>
    <x v="1"/>
    <x v="0"/>
    <x v="0"/>
    <x v="0"/>
    <x v="0"/>
    <x v="0"/>
    <x v="0"/>
    <m/>
    <x v="131"/>
  </r>
  <r>
    <s v="USR-100443"/>
    <d v="2025-04-25T00:00:00"/>
    <x v="0"/>
    <x v="3"/>
    <s v="Mobile"/>
    <x v="4"/>
    <x v="1"/>
    <x v="1"/>
    <x v="0"/>
    <x v="0"/>
    <x v="0"/>
    <x v="0"/>
    <x v="0"/>
    <x v="0"/>
    <m/>
    <x v="287"/>
  </r>
  <r>
    <s v="USR-100444"/>
    <d v="2025-04-12T00:00:00"/>
    <x v="0"/>
    <x v="1"/>
    <s v="Desktop"/>
    <x v="3"/>
    <x v="1"/>
    <x v="1"/>
    <x v="1"/>
    <x v="1"/>
    <x v="0"/>
    <x v="0"/>
    <x v="1"/>
    <x v="0"/>
    <m/>
    <x v="106"/>
  </r>
  <r>
    <s v="USR-100445"/>
    <d v="2025-04-23T00:00:00"/>
    <x v="0"/>
    <x v="3"/>
    <s v="Mobile"/>
    <x v="1"/>
    <x v="2"/>
    <x v="1"/>
    <x v="0"/>
    <x v="0"/>
    <x v="0"/>
    <x v="0"/>
    <x v="0"/>
    <x v="0"/>
    <m/>
    <x v="288"/>
  </r>
  <r>
    <s v="USR-100446"/>
    <d v="2025-03-30T00:00:00"/>
    <x v="0"/>
    <x v="0"/>
    <s v="Desktop"/>
    <x v="3"/>
    <x v="1"/>
    <x v="1"/>
    <x v="1"/>
    <x v="1"/>
    <x v="0"/>
    <x v="0"/>
    <x v="1"/>
    <x v="0"/>
    <m/>
    <x v="289"/>
  </r>
  <r>
    <s v="USR-100447"/>
    <d v="2025-01-18T00:00:00"/>
    <x v="0"/>
    <x v="2"/>
    <s v="Mobile"/>
    <x v="3"/>
    <x v="0"/>
    <x v="0"/>
    <x v="0"/>
    <x v="0"/>
    <x v="0"/>
    <x v="0"/>
    <x v="0"/>
    <x v="0"/>
    <m/>
    <x v="267"/>
  </r>
  <r>
    <s v="USR-100448"/>
    <d v="2025-04-09T00:00:00"/>
    <x v="0"/>
    <x v="2"/>
    <s v="Mobile"/>
    <x v="1"/>
    <x v="1"/>
    <x v="1"/>
    <x v="0"/>
    <x v="0"/>
    <x v="0"/>
    <x v="0"/>
    <x v="0"/>
    <x v="0"/>
    <m/>
    <x v="234"/>
  </r>
  <r>
    <s v="USR-100449"/>
    <d v="2025-01-11T00:00:00"/>
    <x v="0"/>
    <x v="1"/>
    <s v="Mobile"/>
    <x v="1"/>
    <x v="1"/>
    <x v="1"/>
    <x v="1"/>
    <x v="1"/>
    <x v="0"/>
    <x v="0"/>
    <x v="0"/>
    <x v="0"/>
    <m/>
    <x v="290"/>
  </r>
  <r>
    <s v="USR-100450"/>
    <d v="2025-03-05T00:00:00"/>
    <x v="0"/>
    <x v="2"/>
    <s v="Mobile"/>
    <x v="2"/>
    <x v="1"/>
    <x v="1"/>
    <x v="0"/>
    <x v="0"/>
    <x v="0"/>
    <x v="0"/>
    <x v="0"/>
    <x v="0"/>
    <m/>
    <x v="1"/>
  </r>
  <r>
    <s v="USR-100451"/>
    <d v="2025-02-17T00:00:00"/>
    <x v="0"/>
    <x v="0"/>
    <s v="Tablet"/>
    <x v="4"/>
    <x v="1"/>
    <x v="1"/>
    <x v="1"/>
    <x v="1"/>
    <x v="0"/>
    <x v="0"/>
    <x v="0"/>
    <x v="0"/>
    <m/>
    <x v="108"/>
  </r>
  <r>
    <s v="USR-100452"/>
    <d v="2025-05-07T00:00:00"/>
    <x v="0"/>
    <x v="0"/>
    <s v="Desktop"/>
    <x v="2"/>
    <x v="1"/>
    <x v="0"/>
    <x v="0"/>
    <x v="0"/>
    <x v="0"/>
    <x v="0"/>
    <x v="0"/>
    <x v="0"/>
    <m/>
    <x v="183"/>
  </r>
  <r>
    <s v="USR-100453"/>
    <d v="2025-04-10T00:00:00"/>
    <x v="0"/>
    <x v="2"/>
    <s v="Mobile"/>
    <x v="2"/>
    <x v="2"/>
    <x v="0"/>
    <x v="0"/>
    <x v="0"/>
    <x v="0"/>
    <x v="0"/>
    <x v="0"/>
    <x v="0"/>
    <m/>
    <x v="236"/>
  </r>
  <r>
    <s v="USR-100454"/>
    <d v="2025-04-21T00:00:00"/>
    <x v="0"/>
    <x v="0"/>
    <s v="Mobile"/>
    <x v="4"/>
    <x v="1"/>
    <x v="1"/>
    <x v="0"/>
    <x v="0"/>
    <x v="0"/>
    <x v="0"/>
    <x v="0"/>
    <x v="0"/>
    <m/>
    <x v="291"/>
  </r>
  <r>
    <s v="USR-100455"/>
    <d v="2025-02-25T00:00:00"/>
    <x v="0"/>
    <x v="3"/>
    <s v="Tablet"/>
    <x v="5"/>
    <x v="1"/>
    <x v="0"/>
    <x v="0"/>
    <x v="0"/>
    <x v="0"/>
    <x v="0"/>
    <x v="0"/>
    <x v="0"/>
    <m/>
    <x v="39"/>
  </r>
  <r>
    <s v="USR-100456"/>
    <d v="2025-05-14T00:00:00"/>
    <x v="0"/>
    <x v="2"/>
    <s v="Desktop"/>
    <x v="1"/>
    <x v="1"/>
    <x v="0"/>
    <x v="0"/>
    <x v="0"/>
    <x v="0"/>
    <x v="0"/>
    <x v="0"/>
    <x v="0"/>
    <m/>
    <x v="292"/>
  </r>
  <r>
    <s v="USR-100457"/>
    <d v="2025-03-10T00:00:00"/>
    <x v="0"/>
    <x v="0"/>
    <s v="Mobile"/>
    <x v="0"/>
    <x v="0"/>
    <x v="1"/>
    <x v="0"/>
    <x v="0"/>
    <x v="0"/>
    <x v="0"/>
    <x v="1"/>
    <x v="0"/>
    <m/>
    <x v="2"/>
  </r>
  <r>
    <s v="USR-100458"/>
    <d v="2025-01-31T00:00:00"/>
    <x v="0"/>
    <x v="1"/>
    <s v="Desktop"/>
    <x v="1"/>
    <x v="2"/>
    <x v="1"/>
    <x v="0"/>
    <x v="0"/>
    <x v="0"/>
    <x v="0"/>
    <x v="1"/>
    <x v="0"/>
    <m/>
    <x v="266"/>
  </r>
  <r>
    <s v="USR-100459"/>
    <d v="2025-01-17T00:00:00"/>
    <x v="0"/>
    <x v="3"/>
    <s v="Mobile"/>
    <x v="1"/>
    <x v="2"/>
    <x v="1"/>
    <x v="0"/>
    <x v="0"/>
    <x v="0"/>
    <x v="0"/>
    <x v="0"/>
    <x v="0"/>
    <m/>
    <x v="63"/>
  </r>
  <r>
    <s v="USR-100460"/>
    <d v="2025-03-12T00:00:00"/>
    <x v="0"/>
    <x v="3"/>
    <s v="Mobile"/>
    <x v="2"/>
    <x v="1"/>
    <x v="0"/>
    <x v="0"/>
    <x v="0"/>
    <x v="0"/>
    <x v="0"/>
    <x v="3"/>
    <x v="0"/>
    <m/>
    <x v="267"/>
  </r>
  <r>
    <s v="USR-100461"/>
    <d v="2025-02-28T00:00:00"/>
    <x v="0"/>
    <x v="1"/>
    <s v="Desktop"/>
    <x v="1"/>
    <x v="2"/>
    <x v="1"/>
    <x v="1"/>
    <x v="0"/>
    <x v="0"/>
    <x v="0"/>
    <x v="0"/>
    <x v="0"/>
    <m/>
    <x v="293"/>
  </r>
  <r>
    <s v="USR-100462"/>
    <d v="2025-05-19T00:00:00"/>
    <x v="0"/>
    <x v="0"/>
    <s v="Unknown"/>
    <x v="1"/>
    <x v="0"/>
    <x v="1"/>
    <x v="0"/>
    <x v="0"/>
    <x v="0"/>
    <x v="0"/>
    <x v="0"/>
    <x v="0"/>
    <m/>
    <x v="17"/>
  </r>
  <r>
    <s v="USR-100463"/>
    <d v="2025-02-23T00:00:00"/>
    <x v="0"/>
    <x v="0"/>
    <s v="Mobile"/>
    <x v="3"/>
    <x v="0"/>
    <x v="1"/>
    <x v="0"/>
    <x v="0"/>
    <x v="0"/>
    <x v="0"/>
    <x v="0"/>
    <x v="0"/>
    <m/>
    <x v="9"/>
  </r>
  <r>
    <s v="USR-100464"/>
    <d v="2025-02-20T00:00:00"/>
    <x v="0"/>
    <x v="1"/>
    <s v="Desktop"/>
    <x v="1"/>
    <x v="1"/>
    <x v="1"/>
    <x v="1"/>
    <x v="1"/>
    <x v="0"/>
    <x v="0"/>
    <x v="0"/>
    <x v="0"/>
    <m/>
    <x v="221"/>
  </r>
  <r>
    <s v="USR-100465"/>
    <d v="2025-04-12T00:00:00"/>
    <x v="0"/>
    <x v="0"/>
    <s v="Mobile"/>
    <x v="5"/>
    <x v="1"/>
    <x v="0"/>
    <x v="0"/>
    <x v="0"/>
    <x v="0"/>
    <x v="0"/>
    <x v="0"/>
    <x v="0"/>
    <m/>
    <x v="54"/>
  </r>
  <r>
    <s v="USR-100466"/>
    <d v="2025-01-08T00:00:00"/>
    <x v="0"/>
    <x v="1"/>
    <s v="Mobile"/>
    <x v="0"/>
    <x v="1"/>
    <x v="0"/>
    <x v="0"/>
    <x v="0"/>
    <x v="0"/>
    <x v="0"/>
    <x v="0"/>
    <x v="0"/>
    <m/>
    <x v="167"/>
  </r>
  <r>
    <s v="USR-100467"/>
    <d v="2025-02-13T00:00:00"/>
    <x v="0"/>
    <x v="1"/>
    <s v="Mobile"/>
    <x v="1"/>
    <x v="0"/>
    <x v="0"/>
    <x v="0"/>
    <x v="0"/>
    <x v="0"/>
    <x v="0"/>
    <x v="0"/>
    <x v="0"/>
    <m/>
    <x v="294"/>
  </r>
  <r>
    <s v="USR-100468"/>
    <d v="2025-05-21T00:00:00"/>
    <x v="0"/>
    <x v="2"/>
    <s v="Desktop"/>
    <x v="0"/>
    <x v="1"/>
    <x v="1"/>
    <x v="1"/>
    <x v="1"/>
    <x v="0"/>
    <x v="0"/>
    <x v="0"/>
    <x v="0"/>
    <m/>
    <x v="156"/>
  </r>
  <r>
    <s v="USR-100469"/>
    <d v="2025-05-30T00:00:00"/>
    <x v="0"/>
    <x v="0"/>
    <s v="Mobile"/>
    <x v="1"/>
    <x v="0"/>
    <x v="0"/>
    <x v="0"/>
    <x v="0"/>
    <x v="0"/>
    <x v="0"/>
    <x v="0"/>
    <x v="0"/>
    <m/>
    <x v="232"/>
  </r>
  <r>
    <s v="USR-100470"/>
    <d v="2025-05-20T00:00:00"/>
    <x v="0"/>
    <x v="1"/>
    <s v="Mobile"/>
    <x v="2"/>
    <x v="1"/>
    <x v="0"/>
    <x v="0"/>
    <x v="0"/>
    <x v="0"/>
    <x v="0"/>
    <x v="0"/>
    <x v="0"/>
    <m/>
    <x v="264"/>
  </r>
  <r>
    <s v="USR-100471"/>
    <d v="2025-01-09T00:00:00"/>
    <x v="0"/>
    <x v="2"/>
    <s v="Desktop"/>
    <x v="1"/>
    <x v="1"/>
    <x v="0"/>
    <x v="0"/>
    <x v="0"/>
    <x v="0"/>
    <x v="0"/>
    <x v="1"/>
    <x v="0"/>
    <m/>
    <x v="295"/>
  </r>
  <r>
    <s v="USR-100472"/>
    <d v="2025-03-07T00:00:00"/>
    <x v="0"/>
    <x v="1"/>
    <s v="Mobile"/>
    <x v="1"/>
    <x v="1"/>
    <x v="0"/>
    <x v="0"/>
    <x v="0"/>
    <x v="0"/>
    <x v="0"/>
    <x v="0"/>
    <x v="0"/>
    <m/>
    <x v="296"/>
  </r>
  <r>
    <s v="USR-100473"/>
    <d v="2025-04-23T00:00:00"/>
    <x v="0"/>
    <x v="3"/>
    <s v="Mobile"/>
    <x v="4"/>
    <x v="1"/>
    <x v="0"/>
    <x v="0"/>
    <x v="0"/>
    <x v="0"/>
    <x v="0"/>
    <x v="0"/>
    <x v="0"/>
    <m/>
    <x v="297"/>
  </r>
  <r>
    <s v="USR-100474"/>
    <d v="2025-03-08T00:00:00"/>
    <x v="0"/>
    <x v="2"/>
    <s v="Mobile"/>
    <x v="1"/>
    <x v="0"/>
    <x v="0"/>
    <x v="0"/>
    <x v="0"/>
    <x v="0"/>
    <x v="0"/>
    <x v="0"/>
    <x v="0"/>
    <m/>
    <x v="175"/>
  </r>
  <r>
    <s v="USR-100475"/>
    <d v="2025-02-14T00:00:00"/>
    <x v="0"/>
    <x v="3"/>
    <s v="Mobile"/>
    <x v="3"/>
    <x v="1"/>
    <x v="0"/>
    <x v="0"/>
    <x v="0"/>
    <x v="0"/>
    <x v="0"/>
    <x v="0"/>
    <x v="0"/>
    <m/>
    <x v="87"/>
  </r>
  <r>
    <s v="USR-100476"/>
    <d v="2025-05-17T00:00:00"/>
    <x v="0"/>
    <x v="1"/>
    <s v="Mobile"/>
    <x v="3"/>
    <x v="0"/>
    <x v="1"/>
    <x v="0"/>
    <x v="0"/>
    <x v="0"/>
    <x v="0"/>
    <x v="0"/>
    <x v="0"/>
    <m/>
    <x v="298"/>
  </r>
  <r>
    <s v="USR-100477"/>
    <d v="2025-04-25T00:00:00"/>
    <x v="0"/>
    <x v="3"/>
    <s v="Mobile"/>
    <x v="3"/>
    <x v="1"/>
    <x v="0"/>
    <x v="0"/>
    <x v="0"/>
    <x v="0"/>
    <x v="0"/>
    <x v="0"/>
    <x v="0"/>
    <m/>
    <x v="151"/>
  </r>
  <r>
    <s v="USR-100478"/>
    <d v="2025-03-04T00:00:00"/>
    <x v="0"/>
    <x v="3"/>
    <s v="Desktop"/>
    <x v="4"/>
    <x v="0"/>
    <x v="0"/>
    <x v="0"/>
    <x v="0"/>
    <x v="0"/>
    <x v="0"/>
    <x v="0"/>
    <x v="0"/>
    <m/>
    <x v="54"/>
  </r>
  <r>
    <s v="USR-100479"/>
    <d v="2025-03-18T00:00:00"/>
    <x v="0"/>
    <x v="3"/>
    <s v="Mobile"/>
    <x v="1"/>
    <x v="1"/>
    <x v="1"/>
    <x v="0"/>
    <x v="0"/>
    <x v="0"/>
    <x v="0"/>
    <x v="0"/>
    <x v="0"/>
    <m/>
    <x v="299"/>
  </r>
  <r>
    <s v="USR-100480"/>
    <d v="2025-01-30T00:00:00"/>
    <x v="0"/>
    <x v="1"/>
    <s v="Mobile"/>
    <x v="2"/>
    <x v="2"/>
    <x v="1"/>
    <x v="0"/>
    <x v="0"/>
    <x v="0"/>
    <x v="0"/>
    <x v="0"/>
    <x v="0"/>
    <m/>
    <x v="162"/>
  </r>
  <r>
    <s v="USR-100481"/>
    <d v="2025-05-20T00:00:00"/>
    <x v="0"/>
    <x v="1"/>
    <s v="Tablet"/>
    <x v="3"/>
    <x v="1"/>
    <x v="1"/>
    <x v="1"/>
    <x v="1"/>
    <x v="0"/>
    <x v="0"/>
    <x v="0"/>
    <x v="0"/>
    <m/>
    <x v="300"/>
  </r>
  <r>
    <s v="USR-100482"/>
    <d v="2025-02-13T00:00:00"/>
    <x v="0"/>
    <x v="0"/>
    <s v="Unknown"/>
    <x v="1"/>
    <x v="0"/>
    <x v="1"/>
    <x v="1"/>
    <x v="1"/>
    <x v="0"/>
    <x v="0"/>
    <x v="0"/>
    <x v="0"/>
    <m/>
    <x v="301"/>
  </r>
  <r>
    <s v="USR-100483"/>
    <d v="2025-04-12T00:00:00"/>
    <x v="0"/>
    <x v="1"/>
    <s v="Desktop"/>
    <x v="1"/>
    <x v="0"/>
    <x v="0"/>
    <x v="0"/>
    <x v="0"/>
    <x v="0"/>
    <x v="0"/>
    <x v="0"/>
    <x v="0"/>
    <m/>
    <x v="38"/>
  </r>
  <r>
    <s v="USR-100484"/>
    <d v="2025-04-07T00:00:00"/>
    <x v="0"/>
    <x v="0"/>
    <s v="Mobile"/>
    <x v="0"/>
    <x v="1"/>
    <x v="0"/>
    <x v="0"/>
    <x v="0"/>
    <x v="0"/>
    <x v="0"/>
    <x v="0"/>
    <x v="0"/>
    <m/>
    <x v="302"/>
  </r>
  <r>
    <s v="USR-100485"/>
    <d v="2025-03-12T00:00:00"/>
    <x v="0"/>
    <x v="0"/>
    <s v="Desktop"/>
    <x v="4"/>
    <x v="1"/>
    <x v="1"/>
    <x v="1"/>
    <x v="1"/>
    <x v="0"/>
    <x v="0"/>
    <x v="2"/>
    <x v="0"/>
    <m/>
    <x v="251"/>
  </r>
  <r>
    <s v="USR-100486"/>
    <d v="2025-02-07T00:00:00"/>
    <x v="0"/>
    <x v="1"/>
    <s v="Mobile"/>
    <x v="1"/>
    <x v="1"/>
    <x v="1"/>
    <x v="0"/>
    <x v="0"/>
    <x v="0"/>
    <x v="0"/>
    <x v="0"/>
    <x v="0"/>
    <m/>
    <x v="76"/>
  </r>
  <r>
    <s v="USR-100487"/>
    <d v="2025-05-05T00:00:00"/>
    <x v="0"/>
    <x v="0"/>
    <s v="Mobile"/>
    <x v="1"/>
    <x v="2"/>
    <x v="1"/>
    <x v="1"/>
    <x v="0"/>
    <x v="0"/>
    <x v="0"/>
    <x v="0"/>
    <x v="0"/>
    <m/>
    <x v="303"/>
  </r>
  <r>
    <s v="USR-100488"/>
    <d v="2025-03-18T00:00:00"/>
    <x v="0"/>
    <x v="3"/>
    <s v="Mobile"/>
    <x v="3"/>
    <x v="1"/>
    <x v="0"/>
    <x v="0"/>
    <x v="0"/>
    <x v="0"/>
    <x v="0"/>
    <x v="0"/>
    <x v="0"/>
    <m/>
    <x v="304"/>
  </r>
  <r>
    <s v="USR-100489"/>
    <d v="2025-01-05T00:00:00"/>
    <x v="0"/>
    <x v="3"/>
    <s v="Mobile"/>
    <x v="2"/>
    <x v="0"/>
    <x v="1"/>
    <x v="0"/>
    <x v="0"/>
    <x v="0"/>
    <x v="0"/>
    <x v="0"/>
    <x v="0"/>
    <m/>
    <x v="247"/>
  </r>
  <r>
    <s v="USR-100490"/>
    <d v="2025-05-10T00:00:00"/>
    <x v="0"/>
    <x v="3"/>
    <s v="Desktop"/>
    <x v="3"/>
    <x v="0"/>
    <x v="0"/>
    <x v="0"/>
    <x v="0"/>
    <x v="0"/>
    <x v="0"/>
    <x v="0"/>
    <x v="0"/>
    <m/>
    <x v="305"/>
  </r>
  <r>
    <s v="USR-100491"/>
    <d v="2025-01-03T00:00:00"/>
    <x v="0"/>
    <x v="3"/>
    <s v="Mobile"/>
    <x v="4"/>
    <x v="0"/>
    <x v="1"/>
    <x v="1"/>
    <x v="0"/>
    <x v="0"/>
    <x v="0"/>
    <x v="1"/>
    <x v="0"/>
    <m/>
    <x v="306"/>
  </r>
  <r>
    <s v="USR-100492"/>
    <d v="2025-05-08T00:00:00"/>
    <x v="0"/>
    <x v="3"/>
    <s v="Mobile"/>
    <x v="2"/>
    <x v="1"/>
    <x v="1"/>
    <x v="1"/>
    <x v="0"/>
    <x v="0"/>
    <x v="0"/>
    <x v="0"/>
    <x v="0"/>
    <m/>
    <x v="307"/>
  </r>
  <r>
    <s v="USR-100493"/>
    <d v="2025-03-05T00:00:00"/>
    <x v="0"/>
    <x v="3"/>
    <s v="Desktop"/>
    <x v="0"/>
    <x v="0"/>
    <x v="1"/>
    <x v="0"/>
    <x v="0"/>
    <x v="0"/>
    <x v="0"/>
    <x v="2"/>
    <x v="0"/>
    <m/>
    <x v="159"/>
  </r>
  <r>
    <s v="USR-100494"/>
    <d v="2025-02-17T00:00:00"/>
    <x v="0"/>
    <x v="0"/>
    <s v="Mobile"/>
    <x v="1"/>
    <x v="2"/>
    <x v="1"/>
    <x v="0"/>
    <x v="0"/>
    <x v="0"/>
    <x v="0"/>
    <x v="0"/>
    <x v="0"/>
    <m/>
    <x v="51"/>
  </r>
  <r>
    <s v="USR-100495"/>
    <d v="2025-01-09T00:00:00"/>
    <x v="0"/>
    <x v="3"/>
    <s v="Mobile"/>
    <x v="3"/>
    <x v="0"/>
    <x v="0"/>
    <x v="0"/>
    <x v="0"/>
    <x v="0"/>
    <x v="0"/>
    <x v="0"/>
    <x v="0"/>
    <m/>
    <x v="208"/>
  </r>
  <r>
    <s v="USR-100496"/>
    <d v="2025-05-05T00:00:00"/>
    <x v="0"/>
    <x v="3"/>
    <s v="Mobile"/>
    <x v="0"/>
    <x v="0"/>
    <x v="0"/>
    <x v="0"/>
    <x v="0"/>
    <x v="0"/>
    <x v="0"/>
    <x v="1"/>
    <x v="0"/>
    <m/>
    <x v="308"/>
  </r>
  <r>
    <s v="USR-100497"/>
    <d v="2025-04-16T00:00:00"/>
    <x v="0"/>
    <x v="2"/>
    <s v="Mobile"/>
    <x v="0"/>
    <x v="0"/>
    <x v="0"/>
    <x v="0"/>
    <x v="0"/>
    <x v="0"/>
    <x v="0"/>
    <x v="1"/>
    <x v="0"/>
    <m/>
    <x v="17"/>
  </r>
  <r>
    <s v="USR-100498"/>
    <d v="2025-03-02T00:00:00"/>
    <x v="0"/>
    <x v="3"/>
    <s v="Desktop"/>
    <x v="1"/>
    <x v="1"/>
    <x v="1"/>
    <x v="0"/>
    <x v="0"/>
    <x v="0"/>
    <x v="0"/>
    <x v="0"/>
    <x v="0"/>
    <m/>
    <x v="145"/>
  </r>
  <r>
    <s v="USR-100499"/>
    <d v="2025-04-14T00:00:00"/>
    <x v="0"/>
    <x v="3"/>
    <s v="Mobile"/>
    <x v="4"/>
    <x v="2"/>
    <x v="0"/>
    <x v="0"/>
    <x v="0"/>
    <x v="0"/>
    <x v="0"/>
    <x v="0"/>
    <x v="0"/>
    <m/>
    <x v="309"/>
  </r>
  <r>
    <s v="USR-100500"/>
    <d v="2025-02-15T00:00:00"/>
    <x v="0"/>
    <x v="2"/>
    <s v="Desktop"/>
    <x v="2"/>
    <x v="0"/>
    <x v="0"/>
    <x v="0"/>
    <x v="0"/>
    <x v="0"/>
    <x v="0"/>
    <x v="0"/>
    <x v="0"/>
    <m/>
    <x v="261"/>
  </r>
  <r>
    <s v="USR-100501"/>
    <d v="2025-02-13T00:00:00"/>
    <x v="0"/>
    <x v="1"/>
    <s v="Mobile"/>
    <x v="4"/>
    <x v="1"/>
    <x v="1"/>
    <x v="1"/>
    <x v="1"/>
    <x v="1"/>
    <x v="20"/>
    <x v="0"/>
    <x v="0"/>
    <n v="7"/>
    <x v="122"/>
  </r>
  <r>
    <s v="USR-100502"/>
    <d v="2025-03-06T00:00:00"/>
    <x v="0"/>
    <x v="0"/>
    <s v="Mobile"/>
    <x v="0"/>
    <x v="1"/>
    <x v="0"/>
    <x v="0"/>
    <x v="0"/>
    <x v="0"/>
    <x v="0"/>
    <x v="0"/>
    <x v="0"/>
    <m/>
    <x v="241"/>
  </r>
  <r>
    <s v="USR-100503"/>
    <d v="2025-02-18T00:00:00"/>
    <x v="0"/>
    <x v="3"/>
    <s v="Desktop"/>
    <x v="4"/>
    <x v="1"/>
    <x v="0"/>
    <x v="0"/>
    <x v="0"/>
    <x v="0"/>
    <x v="0"/>
    <x v="0"/>
    <x v="0"/>
    <m/>
    <x v="310"/>
  </r>
  <r>
    <s v="USR-100504"/>
    <d v="2025-04-07T00:00:00"/>
    <x v="0"/>
    <x v="0"/>
    <s v="Desktop"/>
    <x v="1"/>
    <x v="1"/>
    <x v="0"/>
    <x v="0"/>
    <x v="0"/>
    <x v="0"/>
    <x v="0"/>
    <x v="0"/>
    <x v="0"/>
    <m/>
    <x v="311"/>
  </r>
  <r>
    <s v="USR-100505"/>
    <d v="2025-04-06T00:00:00"/>
    <x v="0"/>
    <x v="0"/>
    <s v="Mobile"/>
    <x v="3"/>
    <x v="1"/>
    <x v="0"/>
    <x v="0"/>
    <x v="0"/>
    <x v="0"/>
    <x v="0"/>
    <x v="0"/>
    <x v="0"/>
    <m/>
    <x v="74"/>
  </r>
  <r>
    <s v="USR-100506"/>
    <d v="2025-01-30T00:00:00"/>
    <x v="0"/>
    <x v="0"/>
    <s v="Desktop"/>
    <x v="4"/>
    <x v="1"/>
    <x v="1"/>
    <x v="0"/>
    <x v="0"/>
    <x v="0"/>
    <x v="0"/>
    <x v="0"/>
    <x v="0"/>
    <m/>
    <x v="312"/>
  </r>
  <r>
    <s v="USR-100507"/>
    <d v="2025-05-13T00:00:00"/>
    <x v="0"/>
    <x v="3"/>
    <s v="Desktop"/>
    <x v="1"/>
    <x v="0"/>
    <x v="1"/>
    <x v="1"/>
    <x v="0"/>
    <x v="0"/>
    <x v="0"/>
    <x v="0"/>
    <x v="0"/>
    <m/>
    <x v="313"/>
  </r>
  <r>
    <s v="USR-100508"/>
    <d v="2025-01-20T00:00:00"/>
    <x v="0"/>
    <x v="1"/>
    <s v="Mobile"/>
    <x v="2"/>
    <x v="2"/>
    <x v="1"/>
    <x v="1"/>
    <x v="0"/>
    <x v="0"/>
    <x v="0"/>
    <x v="0"/>
    <x v="0"/>
    <m/>
    <x v="52"/>
  </r>
  <r>
    <s v="USR-100509"/>
    <d v="2025-01-30T00:00:00"/>
    <x v="0"/>
    <x v="0"/>
    <s v="Tablet"/>
    <x v="1"/>
    <x v="1"/>
    <x v="1"/>
    <x v="0"/>
    <x v="0"/>
    <x v="0"/>
    <x v="0"/>
    <x v="0"/>
    <x v="0"/>
    <m/>
    <x v="314"/>
  </r>
  <r>
    <s v="USR-100510"/>
    <d v="2025-01-13T00:00:00"/>
    <x v="0"/>
    <x v="3"/>
    <s v="Mobile"/>
    <x v="1"/>
    <x v="1"/>
    <x v="0"/>
    <x v="0"/>
    <x v="0"/>
    <x v="0"/>
    <x v="0"/>
    <x v="2"/>
    <x v="0"/>
    <m/>
    <x v="315"/>
  </r>
  <r>
    <s v="USR-100511"/>
    <d v="2025-02-11T00:00:00"/>
    <x v="0"/>
    <x v="0"/>
    <s v="Mobile"/>
    <x v="4"/>
    <x v="1"/>
    <x v="1"/>
    <x v="1"/>
    <x v="0"/>
    <x v="0"/>
    <x v="0"/>
    <x v="0"/>
    <x v="0"/>
    <m/>
    <x v="108"/>
  </r>
  <r>
    <s v="USR-100512"/>
    <d v="2025-04-15T00:00:00"/>
    <x v="0"/>
    <x v="3"/>
    <s v="Mobile"/>
    <x v="1"/>
    <x v="1"/>
    <x v="0"/>
    <x v="0"/>
    <x v="0"/>
    <x v="0"/>
    <x v="0"/>
    <x v="1"/>
    <x v="0"/>
    <m/>
    <x v="163"/>
  </r>
  <r>
    <s v="USR-100513"/>
    <d v="2025-02-13T00:00:00"/>
    <x v="0"/>
    <x v="3"/>
    <s v="Mobile"/>
    <x v="5"/>
    <x v="1"/>
    <x v="1"/>
    <x v="1"/>
    <x v="0"/>
    <x v="0"/>
    <x v="0"/>
    <x v="0"/>
    <x v="0"/>
    <m/>
    <x v="316"/>
  </r>
  <r>
    <s v="USR-100514"/>
    <d v="2025-05-09T00:00:00"/>
    <x v="0"/>
    <x v="3"/>
    <s v="Desktop"/>
    <x v="1"/>
    <x v="1"/>
    <x v="0"/>
    <x v="0"/>
    <x v="0"/>
    <x v="0"/>
    <x v="0"/>
    <x v="0"/>
    <x v="0"/>
    <m/>
    <x v="227"/>
  </r>
  <r>
    <s v="USR-100515"/>
    <d v="2025-03-10T00:00:00"/>
    <x v="0"/>
    <x v="0"/>
    <s v="Mobile"/>
    <x v="2"/>
    <x v="1"/>
    <x v="1"/>
    <x v="1"/>
    <x v="1"/>
    <x v="0"/>
    <x v="0"/>
    <x v="1"/>
    <x v="0"/>
    <m/>
    <x v="317"/>
  </r>
  <r>
    <s v="USR-100516"/>
    <d v="2025-04-01T00:00:00"/>
    <x v="0"/>
    <x v="0"/>
    <s v="Mobile"/>
    <x v="1"/>
    <x v="1"/>
    <x v="1"/>
    <x v="1"/>
    <x v="0"/>
    <x v="0"/>
    <x v="0"/>
    <x v="0"/>
    <x v="0"/>
    <m/>
    <x v="318"/>
  </r>
  <r>
    <s v="USR-100517"/>
    <d v="2025-05-15T00:00:00"/>
    <x v="0"/>
    <x v="2"/>
    <s v="Mobile"/>
    <x v="3"/>
    <x v="0"/>
    <x v="1"/>
    <x v="0"/>
    <x v="0"/>
    <x v="0"/>
    <x v="0"/>
    <x v="0"/>
    <x v="0"/>
    <m/>
    <x v="138"/>
  </r>
  <r>
    <s v="USR-100518"/>
    <d v="2025-05-04T00:00:00"/>
    <x v="0"/>
    <x v="3"/>
    <s v="Desktop"/>
    <x v="4"/>
    <x v="2"/>
    <x v="1"/>
    <x v="1"/>
    <x v="1"/>
    <x v="0"/>
    <x v="0"/>
    <x v="0"/>
    <x v="0"/>
    <m/>
    <x v="319"/>
  </r>
  <r>
    <s v="USR-100519"/>
    <d v="2025-05-20T00:00:00"/>
    <x v="0"/>
    <x v="2"/>
    <s v="Mobile"/>
    <x v="2"/>
    <x v="1"/>
    <x v="0"/>
    <x v="0"/>
    <x v="0"/>
    <x v="0"/>
    <x v="0"/>
    <x v="0"/>
    <x v="0"/>
    <m/>
    <x v="320"/>
  </r>
  <r>
    <s v="USR-100520"/>
    <d v="2025-05-16T00:00:00"/>
    <x v="0"/>
    <x v="1"/>
    <s v="Desktop"/>
    <x v="3"/>
    <x v="1"/>
    <x v="0"/>
    <x v="0"/>
    <x v="0"/>
    <x v="0"/>
    <x v="0"/>
    <x v="0"/>
    <x v="0"/>
    <m/>
    <x v="22"/>
  </r>
  <r>
    <s v="USR-100521"/>
    <d v="2025-03-17T00:00:00"/>
    <x v="0"/>
    <x v="1"/>
    <s v="Mobile"/>
    <x v="1"/>
    <x v="1"/>
    <x v="1"/>
    <x v="0"/>
    <x v="0"/>
    <x v="0"/>
    <x v="0"/>
    <x v="0"/>
    <x v="0"/>
    <m/>
    <x v="321"/>
  </r>
  <r>
    <s v="USR-100522"/>
    <d v="2025-01-27T00:00:00"/>
    <x v="0"/>
    <x v="2"/>
    <s v="Tablet"/>
    <x v="2"/>
    <x v="1"/>
    <x v="1"/>
    <x v="1"/>
    <x v="0"/>
    <x v="0"/>
    <x v="0"/>
    <x v="0"/>
    <x v="0"/>
    <m/>
    <x v="160"/>
  </r>
  <r>
    <s v="USR-100523"/>
    <d v="2025-04-13T00:00:00"/>
    <x v="0"/>
    <x v="3"/>
    <s v="Mobile"/>
    <x v="1"/>
    <x v="0"/>
    <x v="1"/>
    <x v="0"/>
    <x v="0"/>
    <x v="0"/>
    <x v="0"/>
    <x v="0"/>
    <x v="0"/>
    <m/>
    <x v="322"/>
  </r>
  <r>
    <s v="USR-100524"/>
    <d v="2025-05-03T00:00:00"/>
    <x v="0"/>
    <x v="3"/>
    <s v="Desktop"/>
    <x v="0"/>
    <x v="0"/>
    <x v="1"/>
    <x v="0"/>
    <x v="0"/>
    <x v="0"/>
    <x v="0"/>
    <x v="2"/>
    <x v="0"/>
    <m/>
    <x v="323"/>
  </r>
  <r>
    <s v="USR-100525"/>
    <d v="2025-03-30T00:00:00"/>
    <x v="0"/>
    <x v="0"/>
    <s v="Mobile"/>
    <x v="1"/>
    <x v="1"/>
    <x v="1"/>
    <x v="1"/>
    <x v="1"/>
    <x v="0"/>
    <x v="0"/>
    <x v="0"/>
    <x v="0"/>
    <m/>
    <x v="324"/>
  </r>
  <r>
    <s v="USR-100526"/>
    <d v="2025-01-01T00:00:00"/>
    <x v="0"/>
    <x v="1"/>
    <s v="Mobile"/>
    <x v="2"/>
    <x v="0"/>
    <x v="1"/>
    <x v="1"/>
    <x v="1"/>
    <x v="0"/>
    <x v="0"/>
    <x v="0"/>
    <x v="0"/>
    <m/>
    <x v="153"/>
  </r>
  <r>
    <s v="USR-100527"/>
    <d v="2025-02-06T00:00:00"/>
    <x v="0"/>
    <x v="1"/>
    <s v="Mobile"/>
    <x v="2"/>
    <x v="0"/>
    <x v="1"/>
    <x v="0"/>
    <x v="0"/>
    <x v="0"/>
    <x v="0"/>
    <x v="0"/>
    <x v="0"/>
    <m/>
    <x v="325"/>
  </r>
  <r>
    <s v="USR-100528"/>
    <d v="2025-02-25T00:00:00"/>
    <x v="0"/>
    <x v="0"/>
    <s v="Desktop"/>
    <x v="1"/>
    <x v="1"/>
    <x v="0"/>
    <x v="0"/>
    <x v="0"/>
    <x v="0"/>
    <x v="0"/>
    <x v="0"/>
    <x v="0"/>
    <m/>
    <x v="326"/>
  </r>
  <r>
    <s v="USR-100529"/>
    <d v="2025-05-14T00:00:00"/>
    <x v="0"/>
    <x v="2"/>
    <s v="Tablet"/>
    <x v="4"/>
    <x v="1"/>
    <x v="1"/>
    <x v="0"/>
    <x v="0"/>
    <x v="0"/>
    <x v="0"/>
    <x v="0"/>
    <x v="0"/>
    <m/>
    <x v="2"/>
  </r>
  <r>
    <s v="USR-100530"/>
    <d v="2025-05-20T00:00:00"/>
    <x v="0"/>
    <x v="3"/>
    <s v="Mobile"/>
    <x v="1"/>
    <x v="0"/>
    <x v="0"/>
    <x v="0"/>
    <x v="0"/>
    <x v="0"/>
    <x v="0"/>
    <x v="0"/>
    <x v="0"/>
    <m/>
    <x v="327"/>
  </r>
  <r>
    <s v="USR-100531"/>
    <d v="2025-02-11T00:00:00"/>
    <x v="0"/>
    <x v="3"/>
    <s v="Mobile"/>
    <x v="1"/>
    <x v="1"/>
    <x v="0"/>
    <x v="0"/>
    <x v="0"/>
    <x v="0"/>
    <x v="0"/>
    <x v="0"/>
    <x v="0"/>
    <m/>
    <x v="328"/>
  </r>
  <r>
    <s v="USR-100532"/>
    <d v="2025-02-13T00:00:00"/>
    <x v="0"/>
    <x v="1"/>
    <s v="Mobile"/>
    <x v="1"/>
    <x v="1"/>
    <x v="1"/>
    <x v="0"/>
    <x v="0"/>
    <x v="0"/>
    <x v="0"/>
    <x v="0"/>
    <x v="0"/>
    <m/>
    <x v="329"/>
  </r>
  <r>
    <s v="USR-100533"/>
    <d v="2025-04-07T00:00:00"/>
    <x v="0"/>
    <x v="3"/>
    <s v="Mobile"/>
    <x v="2"/>
    <x v="2"/>
    <x v="1"/>
    <x v="0"/>
    <x v="0"/>
    <x v="0"/>
    <x v="0"/>
    <x v="0"/>
    <x v="0"/>
    <m/>
    <x v="254"/>
  </r>
  <r>
    <s v="USR-100534"/>
    <d v="2025-03-08T00:00:00"/>
    <x v="0"/>
    <x v="2"/>
    <s v="Mobile"/>
    <x v="0"/>
    <x v="1"/>
    <x v="1"/>
    <x v="0"/>
    <x v="0"/>
    <x v="0"/>
    <x v="0"/>
    <x v="0"/>
    <x v="0"/>
    <m/>
    <x v="330"/>
  </r>
  <r>
    <s v="USR-100535"/>
    <d v="2025-02-16T00:00:00"/>
    <x v="0"/>
    <x v="0"/>
    <s v="Desktop"/>
    <x v="2"/>
    <x v="1"/>
    <x v="1"/>
    <x v="1"/>
    <x v="1"/>
    <x v="0"/>
    <x v="0"/>
    <x v="0"/>
    <x v="0"/>
    <m/>
    <x v="225"/>
  </r>
  <r>
    <s v="USR-100536"/>
    <d v="2025-04-28T00:00:00"/>
    <x v="0"/>
    <x v="3"/>
    <s v="Mobile"/>
    <x v="2"/>
    <x v="2"/>
    <x v="1"/>
    <x v="0"/>
    <x v="0"/>
    <x v="0"/>
    <x v="0"/>
    <x v="0"/>
    <x v="0"/>
    <m/>
    <x v="331"/>
  </r>
  <r>
    <s v="USR-100537"/>
    <d v="2025-03-10T00:00:00"/>
    <x v="0"/>
    <x v="1"/>
    <s v="Tablet"/>
    <x v="4"/>
    <x v="0"/>
    <x v="1"/>
    <x v="1"/>
    <x v="0"/>
    <x v="0"/>
    <x v="0"/>
    <x v="1"/>
    <x v="0"/>
    <m/>
    <x v="332"/>
  </r>
  <r>
    <s v="USR-100538"/>
    <d v="2025-01-25T00:00:00"/>
    <x v="0"/>
    <x v="2"/>
    <s v="Mobile"/>
    <x v="4"/>
    <x v="1"/>
    <x v="1"/>
    <x v="0"/>
    <x v="0"/>
    <x v="0"/>
    <x v="0"/>
    <x v="0"/>
    <x v="0"/>
    <m/>
    <x v="43"/>
  </r>
  <r>
    <s v="USR-100539"/>
    <d v="2025-01-11T00:00:00"/>
    <x v="0"/>
    <x v="1"/>
    <s v="Mobile"/>
    <x v="2"/>
    <x v="2"/>
    <x v="1"/>
    <x v="1"/>
    <x v="1"/>
    <x v="0"/>
    <x v="0"/>
    <x v="1"/>
    <x v="0"/>
    <m/>
    <x v="134"/>
  </r>
  <r>
    <s v="USR-100540"/>
    <d v="2025-03-31T00:00:00"/>
    <x v="0"/>
    <x v="1"/>
    <s v="Tablet"/>
    <x v="2"/>
    <x v="1"/>
    <x v="1"/>
    <x v="0"/>
    <x v="0"/>
    <x v="0"/>
    <x v="0"/>
    <x v="0"/>
    <x v="0"/>
    <m/>
    <x v="114"/>
  </r>
  <r>
    <s v="USR-100541"/>
    <d v="2025-05-22T00:00:00"/>
    <x v="0"/>
    <x v="0"/>
    <s v="Mobile"/>
    <x v="2"/>
    <x v="0"/>
    <x v="1"/>
    <x v="1"/>
    <x v="0"/>
    <x v="0"/>
    <x v="0"/>
    <x v="0"/>
    <x v="0"/>
    <m/>
    <x v="333"/>
  </r>
  <r>
    <s v="USR-100542"/>
    <d v="2025-05-16T00:00:00"/>
    <x v="0"/>
    <x v="0"/>
    <s v="Mobile"/>
    <x v="3"/>
    <x v="0"/>
    <x v="0"/>
    <x v="0"/>
    <x v="0"/>
    <x v="0"/>
    <x v="0"/>
    <x v="0"/>
    <x v="0"/>
    <m/>
    <x v="177"/>
  </r>
  <r>
    <s v="USR-100543"/>
    <d v="2025-04-25T00:00:00"/>
    <x v="0"/>
    <x v="2"/>
    <s v="Desktop"/>
    <x v="2"/>
    <x v="1"/>
    <x v="1"/>
    <x v="0"/>
    <x v="0"/>
    <x v="0"/>
    <x v="0"/>
    <x v="0"/>
    <x v="0"/>
    <m/>
    <x v="241"/>
  </r>
  <r>
    <s v="USR-100544"/>
    <d v="2025-04-17T00:00:00"/>
    <x v="0"/>
    <x v="2"/>
    <s v="Mobile"/>
    <x v="4"/>
    <x v="2"/>
    <x v="1"/>
    <x v="1"/>
    <x v="1"/>
    <x v="0"/>
    <x v="0"/>
    <x v="0"/>
    <x v="0"/>
    <m/>
    <x v="334"/>
  </r>
  <r>
    <s v="USR-100545"/>
    <d v="2025-01-01T00:00:00"/>
    <x v="0"/>
    <x v="3"/>
    <s v="Desktop"/>
    <x v="4"/>
    <x v="0"/>
    <x v="0"/>
    <x v="0"/>
    <x v="0"/>
    <x v="0"/>
    <x v="0"/>
    <x v="0"/>
    <x v="0"/>
    <m/>
    <x v="103"/>
  </r>
  <r>
    <s v="USR-100546"/>
    <d v="2025-03-18T00:00:00"/>
    <x v="0"/>
    <x v="2"/>
    <s v="Mobile"/>
    <x v="2"/>
    <x v="0"/>
    <x v="1"/>
    <x v="1"/>
    <x v="1"/>
    <x v="0"/>
    <x v="0"/>
    <x v="0"/>
    <x v="0"/>
    <m/>
    <x v="335"/>
  </r>
  <r>
    <s v="USR-100547"/>
    <d v="2025-05-20T00:00:00"/>
    <x v="0"/>
    <x v="0"/>
    <s v="Tablet"/>
    <x v="2"/>
    <x v="1"/>
    <x v="1"/>
    <x v="0"/>
    <x v="0"/>
    <x v="0"/>
    <x v="0"/>
    <x v="0"/>
    <x v="0"/>
    <m/>
    <x v="274"/>
  </r>
  <r>
    <s v="USR-100548"/>
    <d v="2025-03-16T00:00:00"/>
    <x v="0"/>
    <x v="0"/>
    <s v="Mobile"/>
    <x v="1"/>
    <x v="0"/>
    <x v="1"/>
    <x v="0"/>
    <x v="0"/>
    <x v="0"/>
    <x v="0"/>
    <x v="0"/>
    <x v="0"/>
    <m/>
    <x v="336"/>
  </r>
  <r>
    <s v="USR-100549"/>
    <d v="2025-05-30T00:00:00"/>
    <x v="0"/>
    <x v="2"/>
    <s v="Desktop"/>
    <x v="4"/>
    <x v="1"/>
    <x v="1"/>
    <x v="0"/>
    <x v="0"/>
    <x v="0"/>
    <x v="0"/>
    <x v="0"/>
    <x v="0"/>
    <m/>
    <x v="168"/>
  </r>
  <r>
    <s v="USR-100550"/>
    <d v="2025-02-20T00:00:00"/>
    <x v="0"/>
    <x v="0"/>
    <s v="Mobile"/>
    <x v="4"/>
    <x v="2"/>
    <x v="0"/>
    <x v="0"/>
    <x v="0"/>
    <x v="0"/>
    <x v="0"/>
    <x v="2"/>
    <x v="0"/>
    <m/>
    <x v="88"/>
  </r>
  <r>
    <s v="USR-100551"/>
    <d v="2025-02-11T00:00:00"/>
    <x v="0"/>
    <x v="2"/>
    <s v="Unknown"/>
    <x v="4"/>
    <x v="1"/>
    <x v="1"/>
    <x v="1"/>
    <x v="0"/>
    <x v="0"/>
    <x v="0"/>
    <x v="0"/>
    <x v="0"/>
    <m/>
    <x v="183"/>
  </r>
  <r>
    <s v="USR-100552"/>
    <d v="2025-01-02T00:00:00"/>
    <x v="0"/>
    <x v="3"/>
    <s v="Tablet"/>
    <x v="3"/>
    <x v="0"/>
    <x v="1"/>
    <x v="0"/>
    <x v="0"/>
    <x v="0"/>
    <x v="0"/>
    <x v="0"/>
    <x v="0"/>
    <m/>
    <x v="327"/>
  </r>
  <r>
    <s v="USR-100553"/>
    <d v="2025-05-03T00:00:00"/>
    <x v="0"/>
    <x v="0"/>
    <s v="Mobile"/>
    <x v="1"/>
    <x v="1"/>
    <x v="0"/>
    <x v="0"/>
    <x v="0"/>
    <x v="0"/>
    <x v="0"/>
    <x v="0"/>
    <x v="0"/>
    <m/>
    <x v="284"/>
  </r>
  <r>
    <s v="USR-100554"/>
    <d v="2025-02-24T00:00:00"/>
    <x v="0"/>
    <x v="1"/>
    <s v="Mobile"/>
    <x v="1"/>
    <x v="1"/>
    <x v="1"/>
    <x v="0"/>
    <x v="0"/>
    <x v="0"/>
    <x v="0"/>
    <x v="0"/>
    <x v="0"/>
    <m/>
    <x v="337"/>
  </r>
  <r>
    <s v="USR-100555"/>
    <d v="2025-02-11T00:00:00"/>
    <x v="0"/>
    <x v="3"/>
    <s v="Unknown"/>
    <x v="1"/>
    <x v="1"/>
    <x v="1"/>
    <x v="1"/>
    <x v="1"/>
    <x v="0"/>
    <x v="0"/>
    <x v="0"/>
    <x v="0"/>
    <m/>
    <x v="126"/>
  </r>
  <r>
    <s v="USR-100556"/>
    <d v="2025-05-06T00:00:00"/>
    <x v="0"/>
    <x v="3"/>
    <s v="Mobile"/>
    <x v="4"/>
    <x v="0"/>
    <x v="1"/>
    <x v="0"/>
    <x v="0"/>
    <x v="0"/>
    <x v="0"/>
    <x v="0"/>
    <x v="0"/>
    <m/>
    <x v="299"/>
  </r>
  <r>
    <s v="USR-100557"/>
    <d v="2025-05-23T00:00:00"/>
    <x v="0"/>
    <x v="0"/>
    <s v="Mobile"/>
    <x v="2"/>
    <x v="2"/>
    <x v="0"/>
    <x v="0"/>
    <x v="0"/>
    <x v="0"/>
    <x v="0"/>
    <x v="0"/>
    <x v="0"/>
    <m/>
    <x v="338"/>
  </r>
  <r>
    <s v="USR-100558"/>
    <d v="2025-01-09T00:00:00"/>
    <x v="0"/>
    <x v="0"/>
    <s v="Desktop"/>
    <x v="2"/>
    <x v="1"/>
    <x v="0"/>
    <x v="0"/>
    <x v="0"/>
    <x v="0"/>
    <x v="0"/>
    <x v="0"/>
    <x v="0"/>
    <m/>
    <x v="339"/>
  </r>
  <r>
    <s v="USR-100559"/>
    <d v="2025-04-01T00:00:00"/>
    <x v="0"/>
    <x v="0"/>
    <s v="Desktop"/>
    <x v="1"/>
    <x v="2"/>
    <x v="1"/>
    <x v="0"/>
    <x v="0"/>
    <x v="0"/>
    <x v="0"/>
    <x v="0"/>
    <x v="0"/>
    <m/>
    <x v="340"/>
  </r>
  <r>
    <s v="USR-100560"/>
    <d v="2025-03-08T00:00:00"/>
    <x v="0"/>
    <x v="0"/>
    <s v="Mobile"/>
    <x v="1"/>
    <x v="1"/>
    <x v="1"/>
    <x v="0"/>
    <x v="0"/>
    <x v="0"/>
    <x v="0"/>
    <x v="0"/>
    <x v="0"/>
    <m/>
    <x v="320"/>
  </r>
  <r>
    <s v="USR-100561"/>
    <d v="2025-02-20T00:00:00"/>
    <x v="0"/>
    <x v="0"/>
    <s v="Mobile"/>
    <x v="4"/>
    <x v="0"/>
    <x v="1"/>
    <x v="0"/>
    <x v="0"/>
    <x v="0"/>
    <x v="0"/>
    <x v="0"/>
    <x v="0"/>
    <m/>
    <x v="341"/>
  </r>
  <r>
    <s v="USR-100562"/>
    <d v="2025-03-30T00:00:00"/>
    <x v="0"/>
    <x v="2"/>
    <s v="Mobile"/>
    <x v="4"/>
    <x v="0"/>
    <x v="0"/>
    <x v="0"/>
    <x v="0"/>
    <x v="0"/>
    <x v="0"/>
    <x v="0"/>
    <x v="0"/>
    <m/>
    <x v="342"/>
  </r>
  <r>
    <s v="USR-100563"/>
    <d v="2025-04-10T00:00:00"/>
    <x v="0"/>
    <x v="2"/>
    <s v="Desktop"/>
    <x v="1"/>
    <x v="0"/>
    <x v="0"/>
    <x v="0"/>
    <x v="0"/>
    <x v="0"/>
    <x v="0"/>
    <x v="0"/>
    <x v="0"/>
    <m/>
    <x v="168"/>
  </r>
  <r>
    <s v="USR-100564"/>
    <d v="2025-03-24T00:00:00"/>
    <x v="0"/>
    <x v="2"/>
    <s v="Mobile"/>
    <x v="1"/>
    <x v="2"/>
    <x v="1"/>
    <x v="1"/>
    <x v="0"/>
    <x v="0"/>
    <x v="0"/>
    <x v="0"/>
    <x v="0"/>
    <m/>
    <x v="343"/>
  </r>
  <r>
    <s v="USR-100565"/>
    <d v="2025-05-21T00:00:00"/>
    <x v="0"/>
    <x v="1"/>
    <s v="Mobile"/>
    <x v="1"/>
    <x v="0"/>
    <x v="1"/>
    <x v="0"/>
    <x v="0"/>
    <x v="0"/>
    <x v="0"/>
    <x v="1"/>
    <x v="0"/>
    <m/>
    <x v="153"/>
  </r>
  <r>
    <s v="USR-100566"/>
    <d v="2025-03-29T00:00:00"/>
    <x v="0"/>
    <x v="2"/>
    <s v="Mobile"/>
    <x v="4"/>
    <x v="2"/>
    <x v="1"/>
    <x v="1"/>
    <x v="1"/>
    <x v="0"/>
    <x v="0"/>
    <x v="0"/>
    <x v="0"/>
    <m/>
    <x v="186"/>
  </r>
  <r>
    <s v="USR-100567"/>
    <d v="2025-02-23T00:00:00"/>
    <x v="0"/>
    <x v="0"/>
    <s v="Tablet"/>
    <x v="3"/>
    <x v="0"/>
    <x v="1"/>
    <x v="0"/>
    <x v="0"/>
    <x v="0"/>
    <x v="0"/>
    <x v="0"/>
    <x v="0"/>
    <m/>
    <x v="344"/>
  </r>
  <r>
    <s v="USR-100568"/>
    <d v="2025-02-16T00:00:00"/>
    <x v="0"/>
    <x v="1"/>
    <s v="Mobile"/>
    <x v="2"/>
    <x v="2"/>
    <x v="1"/>
    <x v="0"/>
    <x v="0"/>
    <x v="0"/>
    <x v="0"/>
    <x v="0"/>
    <x v="0"/>
    <m/>
    <x v="297"/>
  </r>
  <r>
    <s v="USR-100569"/>
    <d v="2025-02-21T00:00:00"/>
    <x v="0"/>
    <x v="1"/>
    <s v="Desktop"/>
    <x v="1"/>
    <x v="0"/>
    <x v="1"/>
    <x v="1"/>
    <x v="0"/>
    <x v="0"/>
    <x v="0"/>
    <x v="0"/>
    <x v="0"/>
    <m/>
    <x v="315"/>
  </r>
  <r>
    <s v="USR-100570"/>
    <d v="2025-01-07T00:00:00"/>
    <x v="0"/>
    <x v="0"/>
    <s v="Mobile"/>
    <x v="3"/>
    <x v="1"/>
    <x v="1"/>
    <x v="0"/>
    <x v="0"/>
    <x v="0"/>
    <x v="0"/>
    <x v="2"/>
    <x v="0"/>
    <m/>
    <x v="345"/>
  </r>
  <r>
    <s v="USR-100571"/>
    <d v="2025-03-06T00:00:00"/>
    <x v="0"/>
    <x v="1"/>
    <s v="Mobile"/>
    <x v="2"/>
    <x v="1"/>
    <x v="0"/>
    <x v="0"/>
    <x v="0"/>
    <x v="0"/>
    <x v="0"/>
    <x v="1"/>
    <x v="0"/>
    <m/>
    <x v="310"/>
  </r>
  <r>
    <s v="USR-100572"/>
    <d v="2025-03-30T00:00:00"/>
    <x v="0"/>
    <x v="2"/>
    <s v="Mobile"/>
    <x v="0"/>
    <x v="0"/>
    <x v="1"/>
    <x v="0"/>
    <x v="0"/>
    <x v="0"/>
    <x v="0"/>
    <x v="0"/>
    <x v="0"/>
    <m/>
    <x v="346"/>
  </r>
  <r>
    <s v="USR-100573"/>
    <d v="2025-05-31T00:00:00"/>
    <x v="0"/>
    <x v="3"/>
    <s v="Desktop"/>
    <x v="1"/>
    <x v="1"/>
    <x v="1"/>
    <x v="0"/>
    <x v="0"/>
    <x v="0"/>
    <x v="0"/>
    <x v="0"/>
    <x v="0"/>
    <m/>
    <x v="10"/>
  </r>
  <r>
    <s v="USR-100574"/>
    <d v="2025-02-20T00:00:00"/>
    <x v="0"/>
    <x v="3"/>
    <s v="Mobile"/>
    <x v="0"/>
    <x v="1"/>
    <x v="0"/>
    <x v="0"/>
    <x v="0"/>
    <x v="0"/>
    <x v="0"/>
    <x v="2"/>
    <x v="0"/>
    <m/>
    <x v="152"/>
  </r>
  <r>
    <s v="USR-100575"/>
    <d v="2025-01-13T00:00:00"/>
    <x v="0"/>
    <x v="1"/>
    <s v="Mobile"/>
    <x v="4"/>
    <x v="1"/>
    <x v="0"/>
    <x v="0"/>
    <x v="0"/>
    <x v="0"/>
    <x v="0"/>
    <x v="0"/>
    <x v="0"/>
    <m/>
    <x v="165"/>
  </r>
  <r>
    <s v="USR-100576"/>
    <d v="2025-05-13T00:00:00"/>
    <x v="0"/>
    <x v="2"/>
    <s v="Desktop"/>
    <x v="2"/>
    <x v="0"/>
    <x v="1"/>
    <x v="1"/>
    <x v="0"/>
    <x v="0"/>
    <x v="0"/>
    <x v="0"/>
    <x v="0"/>
    <m/>
    <x v="59"/>
  </r>
  <r>
    <s v="USR-100577"/>
    <d v="2025-04-21T00:00:00"/>
    <x v="0"/>
    <x v="3"/>
    <s v="Tablet"/>
    <x v="1"/>
    <x v="1"/>
    <x v="1"/>
    <x v="0"/>
    <x v="0"/>
    <x v="0"/>
    <x v="0"/>
    <x v="0"/>
    <x v="0"/>
    <m/>
    <x v="239"/>
  </r>
  <r>
    <s v="USR-100578"/>
    <d v="2025-03-01T00:00:00"/>
    <x v="0"/>
    <x v="2"/>
    <s v="Tablet"/>
    <x v="1"/>
    <x v="2"/>
    <x v="1"/>
    <x v="0"/>
    <x v="0"/>
    <x v="0"/>
    <x v="0"/>
    <x v="0"/>
    <x v="0"/>
    <m/>
    <x v="2"/>
  </r>
  <r>
    <s v="USR-100579"/>
    <d v="2025-03-10T00:00:00"/>
    <x v="0"/>
    <x v="1"/>
    <s v="Tablet"/>
    <x v="1"/>
    <x v="1"/>
    <x v="0"/>
    <x v="0"/>
    <x v="0"/>
    <x v="0"/>
    <x v="0"/>
    <x v="0"/>
    <x v="0"/>
    <m/>
    <x v="347"/>
  </r>
  <r>
    <s v="USR-100580"/>
    <d v="2025-03-08T00:00:00"/>
    <x v="0"/>
    <x v="2"/>
    <s v="Desktop"/>
    <x v="2"/>
    <x v="1"/>
    <x v="0"/>
    <x v="0"/>
    <x v="0"/>
    <x v="0"/>
    <x v="0"/>
    <x v="0"/>
    <x v="0"/>
    <m/>
    <x v="348"/>
  </r>
  <r>
    <s v="USR-100581"/>
    <d v="2025-05-26T00:00:00"/>
    <x v="0"/>
    <x v="3"/>
    <s v="Desktop"/>
    <x v="2"/>
    <x v="1"/>
    <x v="1"/>
    <x v="1"/>
    <x v="1"/>
    <x v="0"/>
    <x v="0"/>
    <x v="3"/>
    <x v="0"/>
    <m/>
    <x v="57"/>
  </r>
  <r>
    <s v="USR-100582"/>
    <d v="2025-05-20T00:00:00"/>
    <x v="0"/>
    <x v="2"/>
    <s v="Desktop"/>
    <x v="2"/>
    <x v="1"/>
    <x v="1"/>
    <x v="0"/>
    <x v="0"/>
    <x v="0"/>
    <x v="0"/>
    <x v="0"/>
    <x v="0"/>
    <m/>
    <x v="349"/>
  </r>
  <r>
    <s v="USR-100583"/>
    <d v="2025-03-22T00:00:00"/>
    <x v="0"/>
    <x v="1"/>
    <s v="Desktop"/>
    <x v="2"/>
    <x v="1"/>
    <x v="0"/>
    <x v="0"/>
    <x v="0"/>
    <x v="0"/>
    <x v="0"/>
    <x v="0"/>
    <x v="0"/>
    <m/>
    <x v="350"/>
  </r>
  <r>
    <s v="USR-100584"/>
    <d v="2025-02-15T00:00:00"/>
    <x v="0"/>
    <x v="3"/>
    <s v="Desktop"/>
    <x v="2"/>
    <x v="1"/>
    <x v="0"/>
    <x v="0"/>
    <x v="0"/>
    <x v="0"/>
    <x v="0"/>
    <x v="0"/>
    <x v="0"/>
    <m/>
    <x v="351"/>
  </r>
  <r>
    <s v="USR-100585"/>
    <d v="2025-01-08T00:00:00"/>
    <x v="0"/>
    <x v="0"/>
    <s v="Mobile"/>
    <x v="4"/>
    <x v="1"/>
    <x v="0"/>
    <x v="0"/>
    <x v="0"/>
    <x v="0"/>
    <x v="0"/>
    <x v="1"/>
    <x v="0"/>
    <m/>
    <x v="352"/>
  </r>
  <r>
    <s v="USR-100586"/>
    <d v="2025-01-29T00:00:00"/>
    <x v="0"/>
    <x v="3"/>
    <s v="Mobile"/>
    <x v="1"/>
    <x v="2"/>
    <x v="1"/>
    <x v="1"/>
    <x v="0"/>
    <x v="0"/>
    <x v="0"/>
    <x v="0"/>
    <x v="0"/>
    <m/>
    <x v="136"/>
  </r>
  <r>
    <s v="USR-100587"/>
    <d v="2025-05-07T00:00:00"/>
    <x v="0"/>
    <x v="2"/>
    <s v="Tablet"/>
    <x v="1"/>
    <x v="1"/>
    <x v="0"/>
    <x v="0"/>
    <x v="0"/>
    <x v="0"/>
    <x v="0"/>
    <x v="0"/>
    <x v="0"/>
    <m/>
    <x v="353"/>
  </r>
  <r>
    <s v="USR-100588"/>
    <d v="2025-03-01T00:00:00"/>
    <x v="0"/>
    <x v="0"/>
    <s v="Mobile"/>
    <x v="4"/>
    <x v="0"/>
    <x v="1"/>
    <x v="0"/>
    <x v="0"/>
    <x v="0"/>
    <x v="0"/>
    <x v="1"/>
    <x v="0"/>
    <m/>
    <x v="284"/>
  </r>
  <r>
    <s v="USR-100589"/>
    <d v="2025-04-20T00:00:00"/>
    <x v="0"/>
    <x v="2"/>
    <s v="Mobile"/>
    <x v="1"/>
    <x v="1"/>
    <x v="1"/>
    <x v="1"/>
    <x v="0"/>
    <x v="0"/>
    <x v="0"/>
    <x v="0"/>
    <x v="0"/>
    <m/>
    <x v="173"/>
  </r>
  <r>
    <s v="USR-100590"/>
    <d v="2025-01-16T00:00:00"/>
    <x v="0"/>
    <x v="2"/>
    <s v="Mobile"/>
    <x v="1"/>
    <x v="2"/>
    <x v="0"/>
    <x v="0"/>
    <x v="0"/>
    <x v="0"/>
    <x v="0"/>
    <x v="2"/>
    <x v="0"/>
    <m/>
    <x v="192"/>
  </r>
  <r>
    <s v="USR-100591"/>
    <d v="2025-04-04T00:00:00"/>
    <x v="0"/>
    <x v="2"/>
    <s v="Mobile"/>
    <x v="2"/>
    <x v="1"/>
    <x v="1"/>
    <x v="0"/>
    <x v="0"/>
    <x v="0"/>
    <x v="0"/>
    <x v="0"/>
    <x v="0"/>
    <m/>
    <x v="107"/>
  </r>
  <r>
    <s v="USR-100592"/>
    <d v="2025-01-29T00:00:00"/>
    <x v="0"/>
    <x v="0"/>
    <s v="Tablet"/>
    <x v="4"/>
    <x v="1"/>
    <x v="1"/>
    <x v="0"/>
    <x v="0"/>
    <x v="0"/>
    <x v="0"/>
    <x v="0"/>
    <x v="0"/>
    <m/>
    <x v="127"/>
  </r>
  <r>
    <s v="USR-100593"/>
    <d v="2025-04-19T00:00:00"/>
    <x v="0"/>
    <x v="2"/>
    <s v="Mobile"/>
    <x v="0"/>
    <x v="1"/>
    <x v="1"/>
    <x v="0"/>
    <x v="0"/>
    <x v="0"/>
    <x v="0"/>
    <x v="0"/>
    <x v="0"/>
    <m/>
    <x v="283"/>
  </r>
  <r>
    <s v="USR-100594"/>
    <d v="2025-03-10T00:00:00"/>
    <x v="0"/>
    <x v="3"/>
    <s v="Mobile"/>
    <x v="4"/>
    <x v="0"/>
    <x v="1"/>
    <x v="1"/>
    <x v="1"/>
    <x v="1"/>
    <x v="21"/>
    <x v="0"/>
    <x v="0"/>
    <n v="6"/>
    <x v="244"/>
  </r>
  <r>
    <s v="USR-100595"/>
    <d v="2025-05-10T00:00:00"/>
    <x v="0"/>
    <x v="3"/>
    <s v="Mobile"/>
    <x v="4"/>
    <x v="0"/>
    <x v="0"/>
    <x v="0"/>
    <x v="0"/>
    <x v="0"/>
    <x v="0"/>
    <x v="0"/>
    <x v="0"/>
    <m/>
    <x v="354"/>
  </r>
  <r>
    <s v="USR-100596"/>
    <d v="2025-02-02T00:00:00"/>
    <x v="0"/>
    <x v="0"/>
    <s v="Mobile"/>
    <x v="4"/>
    <x v="1"/>
    <x v="0"/>
    <x v="0"/>
    <x v="0"/>
    <x v="0"/>
    <x v="0"/>
    <x v="0"/>
    <x v="0"/>
    <m/>
    <x v="239"/>
  </r>
  <r>
    <s v="USR-100597"/>
    <d v="2025-05-06T00:00:00"/>
    <x v="0"/>
    <x v="0"/>
    <s v="Desktop"/>
    <x v="1"/>
    <x v="1"/>
    <x v="1"/>
    <x v="1"/>
    <x v="0"/>
    <x v="0"/>
    <x v="0"/>
    <x v="0"/>
    <x v="0"/>
    <m/>
    <x v="355"/>
  </r>
  <r>
    <s v="USR-100598"/>
    <d v="2025-01-19T00:00:00"/>
    <x v="0"/>
    <x v="1"/>
    <s v="Desktop"/>
    <x v="1"/>
    <x v="1"/>
    <x v="1"/>
    <x v="1"/>
    <x v="1"/>
    <x v="0"/>
    <x v="0"/>
    <x v="0"/>
    <x v="0"/>
    <m/>
    <x v="141"/>
  </r>
  <r>
    <s v="USR-100599"/>
    <d v="2025-01-02T00:00:00"/>
    <x v="0"/>
    <x v="0"/>
    <s v="Mobile"/>
    <x v="1"/>
    <x v="1"/>
    <x v="1"/>
    <x v="0"/>
    <x v="0"/>
    <x v="0"/>
    <x v="0"/>
    <x v="0"/>
    <x v="0"/>
    <m/>
    <x v="356"/>
  </r>
  <r>
    <s v="USR-100600"/>
    <d v="2025-05-03T00:00:00"/>
    <x v="0"/>
    <x v="3"/>
    <s v="Desktop"/>
    <x v="2"/>
    <x v="1"/>
    <x v="0"/>
    <x v="0"/>
    <x v="0"/>
    <x v="0"/>
    <x v="0"/>
    <x v="1"/>
    <x v="0"/>
    <m/>
    <x v="246"/>
  </r>
  <r>
    <s v="USR-100601"/>
    <d v="2025-05-27T00:00:00"/>
    <x v="0"/>
    <x v="2"/>
    <s v="Desktop"/>
    <x v="3"/>
    <x v="2"/>
    <x v="0"/>
    <x v="0"/>
    <x v="0"/>
    <x v="0"/>
    <x v="0"/>
    <x v="2"/>
    <x v="0"/>
    <m/>
    <x v="357"/>
  </r>
  <r>
    <s v="USR-100602"/>
    <d v="2025-02-09T00:00:00"/>
    <x v="0"/>
    <x v="3"/>
    <s v="Desktop"/>
    <x v="4"/>
    <x v="1"/>
    <x v="1"/>
    <x v="0"/>
    <x v="0"/>
    <x v="0"/>
    <x v="0"/>
    <x v="0"/>
    <x v="0"/>
    <m/>
    <x v="358"/>
  </r>
  <r>
    <s v="USR-100603"/>
    <d v="2025-05-18T00:00:00"/>
    <x v="0"/>
    <x v="2"/>
    <s v="Mobile"/>
    <x v="2"/>
    <x v="1"/>
    <x v="1"/>
    <x v="0"/>
    <x v="0"/>
    <x v="0"/>
    <x v="0"/>
    <x v="0"/>
    <x v="0"/>
    <m/>
    <x v="237"/>
  </r>
  <r>
    <s v="USR-100604"/>
    <d v="2025-05-17T00:00:00"/>
    <x v="0"/>
    <x v="0"/>
    <s v="Mobile"/>
    <x v="0"/>
    <x v="1"/>
    <x v="0"/>
    <x v="0"/>
    <x v="0"/>
    <x v="0"/>
    <x v="0"/>
    <x v="0"/>
    <x v="0"/>
    <m/>
    <x v="22"/>
  </r>
  <r>
    <s v="USR-100605"/>
    <d v="2025-01-25T00:00:00"/>
    <x v="0"/>
    <x v="2"/>
    <s v="Desktop"/>
    <x v="3"/>
    <x v="0"/>
    <x v="1"/>
    <x v="0"/>
    <x v="0"/>
    <x v="0"/>
    <x v="0"/>
    <x v="1"/>
    <x v="0"/>
    <m/>
    <x v="67"/>
  </r>
  <r>
    <s v="USR-100606"/>
    <d v="2025-05-04T00:00:00"/>
    <x v="0"/>
    <x v="1"/>
    <s v="Mobile"/>
    <x v="2"/>
    <x v="2"/>
    <x v="1"/>
    <x v="1"/>
    <x v="0"/>
    <x v="0"/>
    <x v="0"/>
    <x v="0"/>
    <x v="0"/>
    <m/>
    <x v="230"/>
  </r>
  <r>
    <s v="USR-100607"/>
    <d v="2025-04-14T00:00:00"/>
    <x v="0"/>
    <x v="1"/>
    <s v="Mobile"/>
    <x v="1"/>
    <x v="1"/>
    <x v="1"/>
    <x v="0"/>
    <x v="0"/>
    <x v="0"/>
    <x v="0"/>
    <x v="0"/>
    <x v="0"/>
    <m/>
    <x v="20"/>
  </r>
  <r>
    <s v="USR-100608"/>
    <d v="2025-04-18T00:00:00"/>
    <x v="0"/>
    <x v="3"/>
    <s v="Mobile"/>
    <x v="2"/>
    <x v="1"/>
    <x v="1"/>
    <x v="1"/>
    <x v="0"/>
    <x v="0"/>
    <x v="0"/>
    <x v="0"/>
    <x v="0"/>
    <m/>
    <x v="125"/>
  </r>
  <r>
    <s v="USR-100609"/>
    <d v="2025-02-24T00:00:00"/>
    <x v="0"/>
    <x v="3"/>
    <s v="Desktop"/>
    <x v="0"/>
    <x v="0"/>
    <x v="0"/>
    <x v="0"/>
    <x v="0"/>
    <x v="0"/>
    <x v="0"/>
    <x v="0"/>
    <x v="0"/>
    <m/>
    <x v="103"/>
  </r>
  <r>
    <s v="USR-100610"/>
    <d v="2025-04-19T00:00:00"/>
    <x v="0"/>
    <x v="0"/>
    <s v="Tablet"/>
    <x v="2"/>
    <x v="1"/>
    <x v="1"/>
    <x v="1"/>
    <x v="1"/>
    <x v="0"/>
    <x v="0"/>
    <x v="0"/>
    <x v="0"/>
    <m/>
    <x v="131"/>
  </r>
  <r>
    <s v="USR-100611"/>
    <d v="2025-03-07T00:00:00"/>
    <x v="0"/>
    <x v="3"/>
    <s v="Desktop"/>
    <x v="1"/>
    <x v="0"/>
    <x v="1"/>
    <x v="0"/>
    <x v="0"/>
    <x v="0"/>
    <x v="0"/>
    <x v="0"/>
    <x v="0"/>
    <m/>
    <x v="336"/>
  </r>
  <r>
    <s v="USR-100612"/>
    <d v="2025-03-09T00:00:00"/>
    <x v="0"/>
    <x v="2"/>
    <s v="Mobile"/>
    <x v="1"/>
    <x v="0"/>
    <x v="0"/>
    <x v="0"/>
    <x v="0"/>
    <x v="0"/>
    <x v="0"/>
    <x v="1"/>
    <x v="0"/>
    <m/>
    <x v="60"/>
  </r>
  <r>
    <s v="USR-100613"/>
    <d v="2025-05-01T00:00:00"/>
    <x v="0"/>
    <x v="3"/>
    <s v="Desktop"/>
    <x v="1"/>
    <x v="0"/>
    <x v="1"/>
    <x v="0"/>
    <x v="0"/>
    <x v="0"/>
    <x v="0"/>
    <x v="0"/>
    <x v="0"/>
    <m/>
    <x v="266"/>
  </r>
  <r>
    <s v="USR-100614"/>
    <d v="2025-02-09T00:00:00"/>
    <x v="0"/>
    <x v="1"/>
    <s v="Desktop"/>
    <x v="1"/>
    <x v="2"/>
    <x v="1"/>
    <x v="1"/>
    <x v="1"/>
    <x v="0"/>
    <x v="0"/>
    <x v="0"/>
    <x v="0"/>
    <m/>
    <x v="148"/>
  </r>
  <r>
    <s v="USR-100615"/>
    <d v="2025-05-22T00:00:00"/>
    <x v="0"/>
    <x v="1"/>
    <s v="Mobile"/>
    <x v="3"/>
    <x v="2"/>
    <x v="0"/>
    <x v="0"/>
    <x v="0"/>
    <x v="0"/>
    <x v="0"/>
    <x v="0"/>
    <x v="0"/>
    <m/>
    <x v="359"/>
  </r>
  <r>
    <s v="USR-100616"/>
    <d v="2025-02-11T00:00:00"/>
    <x v="0"/>
    <x v="0"/>
    <s v="Mobile"/>
    <x v="1"/>
    <x v="2"/>
    <x v="0"/>
    <x v="0"/>
    <x v="0"/>
    <x v="0"/>
    <x v="0"/>
    <x v="0"/>
    <x v="0"/>
    <m/>
    <x v="160"/>
  </r>
  <r>
    <s v="USR-100617"/>
    <d v="2025-04-12T00:00:00"/>
    <x v="0"/>
    <x v="0"/>
    <s v="Mobile"/>
    <x v="3"/>
    <x v="0"/>
    <x v="0"/>
    <x v="0"/>
    <x v="0"/>
    <x v="0"/>
    <x v="0"/>
    <x v="2"/>
    <x v="0"/>
    <m/>
    <x v="301"/>
  </r>
  <r>
    <s v="USR-100618"/>
    <d v="2025-03-01T00:00:00"/>
    <x v="0"/>
    <x v="1"/>
    <s v="Mobile"/>
    <x v="4"/>
    <x v="1"/>
    <x v="1"/>
    <x v="0"/>
    <x v="0"/>
    <x v="0"/>
    <x v="0"/>
    <x v="0"/>
    <x v="0"/>
    <m/>
    <x v="67"/>
  </r>
  <r>
    <s v="USR-100619"/>
    <d v="2025-03-17T00:00:00"/>
    <x v="0"/>
    <x v="1"/>
    <s v="Desktop"/>
    <x v="0"/>
    <x v="0"/>
    <x v="0"/>
    <x v="0"/>
    <x v="0"/>
    <x v="0"/>
    <x v="0"/>
    <x v="0"/>
    <x v="0"/>
    <m/>
    <x v="59"/>
  </r>
  <r>
    <s v="USR-100620"/>
    <d v="2025-01-11T00:00:00"/>
    <x v="0"/>
    <x v="0"/>
    <s v="Mobile"/>
    <x v="2"/>
    <x v="1"/>
    <x v="0"/>
    <x v="0"/>
    <x v="0"/>
    <x v="0"/>
    <x v="0"/>
    <x v="0"/>
    <x v="0"/>
    <m/>
    <x v="47"/>
  </r>
  <r>
    <s v="USR-100621"/>
    <d v="2025-02-17T00:00:00"/>
    <x v="0"/>
    <x v="3"/>
    <s v="Mobile"/>
    <x v="4"/>
    <x v="2"/>
    <x v="1"/>
    <x v="0"/>
    <x v="0"/>
    <x v="0"/>
    <x v="0"/>
    <x v="0"/>
    <x v="0"/>
    <m/>
    <x v="95"/>
  </r>
  <r>
    <s v="USR-100622"/>
    <d v="2025-03-25T00:00:00"/>
    <x v="0"/>
    <x v="2"/>
    <s v="Mobile"/>
    <x v="2"/>
    <x v="0"/>
    <x v="1"/>
    <x v="1"/>
    <x v="0"/>
    <x v="0"/>
    <x v="0"/>
    <x v="0"/>
    <x v="0"/>
    <m/>
    <x v="360"/>
  </r>
  <r>
    <s v="USR-100623"/>
    <d v="2025-05-01T00:00:00"/>
    <x v="0"/>
    <x v="3"/>
    <s v="Mobile"/>
    <x v="2"/>
    <x v="1"/>
    <x v="0"/>
    <x v="0"/>
    <x v="0"/>
    <x v="0"/>
    <x v="0"/>
    <x v="0"/>
    <x v="0"/>
    <m/>
    <x v="289"/>
  </r>
  <r>
    <s v="USR-100624"/>
    <d v="2025-04-02T00:00:00"/>
    <x v="0"/>
    <x v="2"/>
    <s v="Mobile"/>
    <x v="1"/>
    <x v="0"/>
    <x v="0"/>
    <x v="0"/>
    <x v="0"/>
    <x v="0"/>
    <x v="0"/>
    <x v="0"/>
    <x v="0"/>
    <m/>
    <x v="361"/>
  </r>
  <r>
    <s v="USR-100625"/>
    <d v="2025-04-05T00:00:00"/>
    <x v="0"/>
    <x v="2"/>
    <s v="Mobile"/>
    <x v="0"/>
    <x v="1"/>
    <x v="1"/>
    <x v="1"/>
    <x v="0"/>
    <x v="0"/>
    <x v="0"/>
    <x v="0"/>
    <x v="0"/>
    <m/>
    <x v="362"/>
  </r>
  <r>
    <s v="USR-100626"/>
    <d v="2025-02-24T00:00:00"/>
    <x v="0"/>
    <x v="0"/>
    <s v="Desktop"/>
    <x v="4"/>
    <x v="1"/>
    <x v="1"/>
    <x v="1"/>
    <x v="0"/>
    <x v="0"/>
    <x v="0"/>
    <x v="0"/>
    <x v="0"/>
    <m/>
    <x v="115"/>
  </r>
  <r>
    <s v="USR-100627"/>
    <d v="2025-01-24T00:00:00"/>
    <x v="0"/>
    <x v="1"/>
    <s v="Mobile"/>
    <x v="2"/>
    <x v="0"/>
    <x v="1"/>
    <x v="0"/>
    <x v="0"/>
    <x v="0"/>
    <x v="0"/>
    <x v="0"/>
    <x v="0"/>
    <m/>
    <x v="360"/>
  </r>
  <r>
    <s v="USR-100628"/>
    <d v="2025-04-10T00:00:00"/>
    <x v="0"/>
    <x v="3"/>
    <s v="Mobile"/>
    <x v="2"/>
    <x v="1"/>
    <x v="0"/>
    <x v="0"/>
    <x v="0"/>
    <x v="0"/>
    <x v="0"/>
    <x v="0"/>
    <x v="0"/>
    <m/>
    <x v="363"/>
  </r>
  <r>
    <s v="USR-100629"/>
    <d v="2025-02-19T00:00:00"/>
    <x v="0"/>
    <x v="3"/>
    <s v="Mobile"/>
    <x v="3"/>
    <x v="1"/>
    <x v="1"/>
    <x v="1"/>
    <x v="1"/>
    <x v="0"/>
    <x v="0"/>
    <x v="0"/>
    <x v="0"/>
    <m/>
    <x v="141"/>
  </r>
  <r>
    <s v="USR-100630"/>
    <d v="2025-03-22T00:00:00"/>
    <x v="0"/>
    <x v="0"/>
    <s v="Mobile"/>
    <x v="4"/>
    <x v="1"/>
    <x v="0"/>
    <x v="0"/>
    <x v="0"/>
    <x v="0"/>
    <x v="0"/>
    <x v="0"/>
    <x v="0"/>
    <m/>
    <x v="199"/>
  </r>
  <r>
    <s v="USR-100631"/>
    <d v="2025-04-08T00:00:00"/>
    <x v="0"/>
    <x v="2"/>
    <s v="Desktop"/>
    <x v="1"/>
    <x v="2"/>
    <x v="1"/>
    <x v="1"/>
    <x v="1"/>
    <x v="0"/>
    <x v="0"/>
    <x v="0"/>
    <x v="0"/>
    <m/>
    <x v="364"/>
  </r>
  <r>
    <s v="USR-100632"/>
    <d v="2025-03-16T00:00:00"/>
    <x v="0"/>
    <x v="0"/>
    <s v="Mobile"/>
    <x v="4"/>
    <x v="1"/>
    <x v="1"/>
    <x v="0"/>
    <x v="0"/>
    <x v="0"/>
    <x v="0"/>
    <x v="0"/>
    <x v="0"/>
    <m/>
    <x v="103"/>
  </r>
  <r>
    <s v="USR-100633"/>
    <d v="2025-03-07T00:00:00"/>
    <x v="0"/>
    <x v="2"/>
    <s v="Mobile"/>
    <x v="2"/>
    <x v="1"/>
    <x v="1"/>
    <x v="0"/>
    <x v="0"/>
    <x v="0"/>
    <x v="0"/>
    <x v="0"/>
    <x v="0"/>
    <m/>
    <x v="247"/>
  </r>
  <r>
    <s v="USR-100634"/>
    <d v="2025-03-16T00:00:00"/>
    <x v="0"/>
    <x v="3"/>
    <s v="Mobile"/>
    <x v="3"/>
    <x v="0"/>
    <x v="0"/>
    <x v="0"/>
    <x v="0"/>
    <x v="0"/>
    <x v="0"/>
    <x v="0"/>
    <x v="0"/>
    <m/>
    <x v="360"/>
  </r>
  <r>
    <s v="USR-100635"/>
    <d v="2025-05-26T00:00:00"/>
    <x v="0"/>
    <x v="2"/>
    <s v="Mobile"/>
    <x v="5"/>
    <x v="2"/>
    <x v="1"/>
    <x v="0"/>
    <x v="0"/>
    <x v="0"/>
    <x v="0"/>
    <x v="3"/>
    <x v="0"/>
    <m/>
    <x v="207"/>
  </r>
  <r>
    <s v="USR-100636"/>
    <d v="2025-01-14T00:00:00"/>
    <x v="0"/>
    <x v="1"/>
    <s v="Mobile"/>
    <x v="1"/>
    <x v="1"/>
    <x v="0"/>
    <x v="0"/>
    <x v="0"/>
    <x v="0"/>
    <x v="0"/>
    <x v="0"/>
    <x v="0"/>
    <m/>
    <x v="179"/>
  </r>
  <r>
    <s v="USR-100637"/>
    <d v="2025-03-30T00:00:00"/>
    <x v="0"/>
    <x v="1"/>
    <s v="Mobile"/>
    <x v="2"/>
    <x v="2"/>
    <x v="1"/>
    <x v="0"/>
    <x v="0"/>
    <x v="0"/>
    <x v="0"/>
    <x v="0"/>
    <x v="0"/>
    <m/>
    <x v="365"/>
  </r>
  <r>
    <s v="USR-100638"/>
    <d v="2025-05-12T00:00:00"/>
    <x v="0"/>
    <x v="2"/>
    <s v="Desktop"/>
    <x v="0"/>
    <x v="1"/>
    <x v="1"/>
    <x v="1"/>
    <x v="1"/>
    <x v="0"/>
    <x v="0"/>
    <x v="0"/>
    <x v="0"/>
    <m/>
    <x v="366"/>
  </r>
  <r>
    <s v="USR-100639"/>
    <d v="2025-05-10T00:00:00"/>
    <x v="0"/>
    <x v="1"/>
    <s v="Mobile"/>
    <x v="2"/>
    <x v="1"/>
    <x v="0"/>
    <x v="0"/>
    <x v="0"/>
    <x v="0"/>
    <x v="0"/>
    <x v="0"/>
    <x v="0"/>
    <m/>
    <x v="367"/>
  </r>
  <r>
    <s v="USR-100640"/>
    <d v="2025-04-09T00:00:00"/>
    <x v="0"/>
    <x v="2"/>
    <s v="Mobile"/>
    <x v="4"/>
    <x v="0"/>
    <x v="0"/>
    <x v="0"/>
    <x v="0"/>
    <x v="0"/>
    <x v="0"/>
    <x v="0"/>
    <x v="0"/>
    <m/>
    <x v="310"/>
  </r>
  <r>
    <s v="USR-100641"/>
    <d v="2025-05-26T00:00:00"/>
    <x v="0"/>
    <x v="0"/>
    <s v="Mobile"/>
    <x v="4"/>
    <x v="1"/>
    <x v="1"/>
    <x v="0"/>
    <x v="0"/>
    <x v="0"/>
    <x v="0"/>
    <x v="0"/>
    <x v="0"/>
    <m/>
    <x v="21"/>
  </r>
  <r>
    <s v="USR-100642"/>
    <d v="2025-02-12T00:00:00"/>
    <x v="0"/>
    <x v="0"/>
    <s v="Mobile"/>
    <x v="1"/>
    <x v="1"/>
    <x v="1"/>
    <x v="0"/>
    <x v="0"/>
    <x v="0"/>
    <x v="0"/>
    <x v="0"/>
    <x v="0"/>
    <m/>
    <x v="368"/>
  </r>
  <r>
    <s v="USR-100643"/>
    <d v="2025-04-01T00:00:00"/>
    <x v="0"/>
    <x v="0"/>
    <s v="Desktop"/>
    <x v="0"/>
    <x v="0"/>
    <x v="0"/>
    <x v="0"/>
    <x v="0"/>
    <x v="0"/>
    <x v="0"/>
    <x v="0"/>
    <x v="0"/>
    <m/>
    <x v="369"/>
  </r>
  <r>
    <s v="USR-100644"/>
    <d v="2025-01-18T00:00:00"/>
    <x v="0"/>
    <x v="3"/>
    <s v="Desktop"/>
    <x v="1"/>
    <x v="0"/>
    <x v="0"/>
    <x v="0"/>
    <x v="0"/>
    <x v="0"/>
    <x v="0"/>
    <x v="0"/>
    <x v="0"/>
    <m/>
    <x v="370"/>
  </r>
  <r>
    <s v="USR-100645"/>
    <d v="2025-04-06T00:00:00"/>
    <x v="0"/>
    <x v="2"/>
    <s v="Tablet"/>
    <x v="1"/>
    <x v="1"/>
    <x v="1"/>
    <x v="0"/>
    <x v="0"/>
    <x v="0"/>
    <x v="0"/>
    <x v="0"/>
    <x v="0"/>
    <m/>
    <x v="270"/>
  </r>
  <r>
    <s v="USR-100646"/>
    <d v="2025-04-17T00:00:00"/>
    <x v="0"/>
    <x v="2"/>
    <s v="Mobile"/>
    <x v="1"/>
    <x v="1"/>
    <x v="1"/>
    <x v="0"/>
    <x v="0"/>
    <x v="0"/>
    <x v="0"/>
    <x v="0"/>
    <x v="0"/>
    <m/>
    <x v="371"/>
  </r>
  <r>
    <s v="USR-100647"/>
    <d v="2025-02-07T00:00:00"/>
    <x v="0"/>
    <x v="0"/>
    <s v="Desktop"/>
    <x v="2"/>
    <x v="1"/>
    <x v="0"/>
    <x v="0"/>
    <x v="0"/>
    <x v="0"/>
    <x v="0"/>
    <x v="0"/>
    <x v="0"/>
    <m/>
    <x v="130"/>
  </r>
  <r>
    <s v="USR-100648"/>
    <d v="2025-03-04T00:00:00"/>
    <x v="0"/>
    <x v="2"/>
    <s v="Mobile"/>
    <x v="1"/>
    <x v="0"/>
    <x v="1"/>
    <x v="0"/>
    <x v="0"/>
    <x v="0"/>
    <x v="0"/>
    <x v="0"/>
    <x v="0"/>
    <m/>
    <x v="305"/>
  </r>
  <r>
    <s v="USR-100649"/>
    <d v="2025-02-17T00:00:00"/>
    <x v="0"/>
    <x v="0"/>
    <s v="Desktop"/>
    <x v="1"/>
    <x v="2"/>
    <x v="0"/>
    <x v="0"/>
    <x v="0"/>
    <x v="0"/>
    <x v="0"/>
    <x v="0"/>
    <x v="0"/>
    <m/>
    <x v="67"/>
  </r>
  <r>
    <s v="USR-100650"/>
    <d v="2025-05-06T00:00:00"/>
    <x v="0"/>
    <x v="3"/>
    <s v="Mobile"/>
    <x v="3"/>
    <x v="1"/>
    <x v="1"/>
    <x v="0"/>
    <x v="0"/>
    <x v="0"/>
    <x v="0"/>
    <x v="0"/>
    <x v="0"/>
    <m/>
    <x v="372"/>
  </r>
  <r>
    <s v="USR-100651"/>
    <d v="2025-03-25T00:00:00"/>
    <x v="0"/>
    <x v="3"/>
    <s v="Mobile"/>
    <x v="3"/>
    <x v="2"/>
    <x v="0"/>
    <x v="0"/>
    <x v="0"/>
    <x v="0"/>
    <x v="0"/>
    <x v="0"/>
    <x v="0"/>
    <m/>
    <x v="252"/>
  </r>
  <r>
    <s v="USR-100652"/>
    <d v="2025-03-04T00:00:00"/>
    <x v="0"/>
    <x v="1"/>
    <s v="Mobile"/>
    <x v="0"/>
    <x v="2"/>
    <x v="1"/>
    <x v="0"/>
    <x v="0"/>
    <x v="0"/>
    <x v="0"/>
    <x v="0"/>
    <x v="0"/>
    <m/>
    <x v="295"/>
  </r>
  <r>
    <s v="USR-100653"/>
    <d v="2025-05-09T00:00:00"/>
    <x v="0"/>
    <x v="1"/>
    <s v="Mobile"/>
    <x v="1"/>
    <x v="1"/>
    <x v="1"/>
    <x v="0"/>
    <x v="0"/>
    <x v="0"/>
    <x v="0"/>
    <x v="1"/>
    <x v="0"/>
    <m/>
    <x v="88"/>
  </r>
  <r>
    <s v="USR-100654"/>
    <d v="2025-05-17T00:00:00"/>
    <x v="0"/>
    <x v="1"/>
    <s v="Mobile"/>
    <x v="3"/>
    <x v="2"/>
    <x v="1"/>
    <x v="0"/>
    <x v="0"/>
    <x v="0"/>
    <x v="0"/>
    <x v="0"/>
    <x v="0"/>
    <m/>
    <x v="161"/>
  </r>
  <r>
    <s v="USR-100655"/>
    <d v="2025-01-12T00:00:00"/>
    <x v="0"/>
    <x v="1"/>
    <s v="Mobile"/>
    <x v="1"/>
    <x v="1"/>
    <x v="0"/>
    <x v="0"/>
    <x v="0"/>
    <x v="0"/>
    <x v="0"/>
    <x v="0"/>
    <x v="0"/>
    <m/>
    <x v="169"/>
  </r>
  <r>
    <s v="USR-100656"/>
    <d v="2025-03-12T00:00:00"/>
    <x v="0"/>
    <x v="1"/>
    <s v="Mobile"/>
    <x v="1"/>
    <x v="2"/>
    <x v="1"/>
    <x v="0"/>
    <x v="0"/>
    <x v="0"/>
    <x v="0"/>
    <x v="0"/>
    <x v="0"/>
    <m/>
    <x v="202"/>
  </r>
  <r>
    <s v="USR-100657"/>
    <d v="2025-04-02T00:00:00"/>
    <x v="0"/>
    <x v="3"/>
    <s v="Mobile"/>
    <x v="1"/>
    <x v="0"/>
    <x v="0"/>
    <x v="0"/>
    <x v="0"/>
    <x v="0"/>
    <x v="0"/>
    <x v="0"/>
    <x v="0"/>
    <m/>
    <x v="41"/>
  </r>
  <r>
    <s v="USR-100658"/>
    <d v="2025-01-13T00:00:00"/>
    <x v="0"/>
    <x v="3"/>
    <s v="Mobile"/>
    <x v="1"/>
    <x v="0"/>
    <x v="1"/>
    <x v="0"/>
    <x v="0"/>
    <x v="0"/>
    <x v="0"/>
    <x v="0"/>
    <x v="0"/>
    <m/>
    <x v="201"/>
  </r>
  <r>
    <s v="USR-100659"/>
    <d v="2025-03-07T00:00:00"/>
    <x v="0"/>
    <x v="2"/>
    <s v="Mobile"/>
    <x v="3"/>
    <x v="1"/>
    <x v="0"/>
    <x v="0"/>
    <x v="0"/>
    <x v="0"/>
    <x v="0"/>
    <x v="0"/>
    <x v="0"/>
    <m/>
    <x v="373"/>
  </r>
  <r>
    <s v="USR-100660"/>
    <d v="2025-04-20T00:00:00"/>
    <x v="0"/>
    <x v="3"/>
    <s v="Desktop"/>
    <x v="4"/>
    <x v="1"/>
    <x v="1"/>
    <x v="1"/>
    <x v="1"/>
    <x v="1"/>
    <x v="22"/>
    <x v="0"/>
    <x v="0"/>
    <n v="2"/>
    <x v="163"/>
  </r>
  <r>
    <s v="USR-100661"/>
    <d v="2025-01-07T00:00:00"/>
    <x v="0"/>
    <x v="3"/>
    <s v="Mobile"/>
    <x v="2"/>
    <x v="1"/>
    <x v="1"/>
    <x v="0"/>
    <x v="0"/>
    <x v="0"/>
    <x v="0"/>
    <x v="0"/>
    <x v="0"/>
    <m/>
    <x v="112"/>
  </r>
  <r>
    <s v="USR-100662"/>
    <d v="2025-04-23T00:00:00"/>
    <x v="0"/>
    <x v="3"/>
    <s v="Mobile"/>
    <x v="3"/>
    <x v="1"/>
    <x v="0"/>
    <x v="0"/>
    <x v="0"/>
    <x v="0"/>
    <x v="0"/>
    <x v="0"/>
    <x v="0"/>
    <m/>
    <x v="277"/>
  </r>
  <r>
    <s v="USR-100663"/>
    <d v="2025-05-26T00:00:00"/>
    <x v="0"/>
    <x v="0"/>
    <s v="Mobile"/>
    <x v="2"/>
    <x v="0"/>
    <x v="0"/>
    <x v="0"/>
    <x v="0"/>
    <x v="0"/>
    <x v="0"/>
    <x v="0"/>
    <x v="0"/>
    <m/>
    <x v="296"/>
  </r>
  <r>
    <s v="USR-100664"/>
    <d v="2025-03-17T00:00:00"/>
    <x v="0"/>
    <x v="0"/>
    <s v="Desktop"/>
    <x v="4"/>
    <x v="0"/>
    <x v="1"/>
    <x v="1"/>
    <x v="1"/>
    <x v="0"/>
    <x v="0"/>
    <x v="0"/>
    <x v="0"/>
    <m/>
    <x v="308"/>
  </r>
  <r>
    <s v="USR-100665"/>
    <d v="2025-05-17T00:00:00"/>
    <x v="0"/>
    <x v="0"/>
    <s v="Desktop"/>
    <x v="2"/>
    <x v="0"/>
    <x v="1"/>
    <x v="0"/>
    <x v="0"/>
    <x v="0"/>
    <x v="0"/>
    <x v="3"/>
    <x v="0"/>
    <m/>
    <x v="374"/>
  </r>
  <r>
    <s v="USR-100666"/>
    <d v="2025-02-21T00:00:00"/>
    <x v="0"/>
    <x v="0"/>
    <s v="Mobile"/>
    <x v="2"/>
    <x v="0"/>
    <x v="0"/>
    <x v="0"/>
    <x v="0"/>
    <x v="0"/>
    <x v="0"/>
    <x v="0"/>
    <x v="0"/>
    <m/>
    <x v="307"/>
  </r>
  <r>
    <s v="USR-100667"/>
    <d v="2025-02-25T00:00:00"/>
    <x v="0"/>
    <x v="2"/>
    <s v="Desktop"/>
    <x v="2"/>
    <x v="2"/>
    <x v="0"/>
    <x v="0"/>
    <x v="0"/>
    <x v="0"/>
    <x v="0"/>
    <x v="0"/>
    <x v="0"/>
    <m/>
    <x v="188"/>
  </r>
  <r>
    <s v="USR-100668"/>
    <d v="2025-01-30T00:00:00"/>
    <x v="0"/>
    <x v="3"/>
    <s v="Mobile"/>
    <x v="4"/>
    <x v="1"/>
    <x v="1"/>
    <x v="1"/>
    <x v="0"/>
    <x v="0"/>
    <x v="0"/>
    <x v="1"/>
    <x v="0"/>
    <m/>
    <x v="375"/>
  </r>
  <r>
    <s v="USR-100669"/>
    <d v="2025-02-17T00:00:00"/>
    <x v="0"/>
    <x v="0"/>
    <s v="Tablet"/>
    <x v="4"/>
    <x v="0"/>
    <x v="0"/>
    <x v="0"/>
    <x v="0"/>
    <x v="0"/>
    <x v="0"/>
    <x v="0"/>
    <x v="0"/>
    <m/>
    <x v="151"/>
  </r>
  <r>
    <s v="USR-100670"/>
    <d v="2025-05-17T00:00:00"/>
    <x v="0"/>
    <x v="0"/>
    <s v="Desktop"/>
    <x v="2"/>
    <x v="0"/>
    <x v="1"/>
    <x v="0"/>
    <x v="0"/>
    <x v="0"/>
    <x v="0"/>
    <x v="0"/>
    <x v="0"/>
    <m/>
    <x v="376"/>
  </r>
  <r>
    <s v="USR-100671"/>
    <d v="2025-04-30T00:00:00"/>
    <x v="0"/>
    <x v="2"/>
    <s v="Desktop"/>
    <x v="2"/>
    <x v="1"/>
    <x v="1"/>
    <x v="0"/>
    <x v="0"/>
    <x v="0"/>
    <x v="0"/>
    <x v="0"/>
    <x v="0"/>
    <m/>
    <x v="221"/>
  </r>
  <r>
    <s v="USR-100672"/>
    <d v="2025-03-22T00:00:00"/>
    <x v="0"/>
    <x v="1"/>
    <s v="Mobile"/>
    <x v="3"/>
    <x v="1"/>
    <x v="1"/>
    <x v="1"/>
    <x v="0"/>
    <x v="0"/>
    <x v="0"/>
    <x v="0"/>
    <x v="0"/>
    <m/>
    <x v="158"/>
  </r>
  <r>
    <s v="USR-100673"/>
    <d v="2025-01-10T00:00:00"/>
    <x v="0"/>
    <x v="1"/>
    <s v="Unknown"/>
    <x v="2"/>
    <x v="1"/>
    <x v="1"/>
    <x v="0"/>
    <x v="0"/>
    <x v="0"/>
    <x v="0"/>
    <x v="1"/>
    <x v="0"/>
    <m/>
    <x v="377"/>
  </r>
  <r>
    <s v="USR-100674"/>
    <d v="2025-03-21T00:00:00"/>
    <x v="0"/>
    <x v="3"/>
    <s v="Unknown"/>
    <x v="2"/>
    <x v="1"/>
    <x v="1"/>
    <x v="0"/>
    <x v="0"/>
    <x v="0"/>
    <x v="0"/>
    <x v="0"/>
    <x v="0"/>
    <m/>
    <x v="325"/>
  </r>
  <r>
    <s v="USR-100675"/>
    <d v="2025-05-12T00:00:00"/>
    <x v="0"/>
    <x v="0"/>
    <s v="Desktop"/>
    <x v="2"/>
    <x v="0"/>
    <x v="0"/>
    <x v="0"/>
    <x v="0"/>
    <x v="0"/>
    <x v="0"/>
    <x v="0"/>
    <x v="0"/>
    <m/>
    <x v="378"/>
  </r>
  <r>
    <s v="USR-100676"/>
    <d v="2025-05-24T00:00:00"/>
    <x v="0"/>
    <x v="1"/>
    <s v="Mobile"/>
    <x v="2"/>
    <x v="1"/>
    <x v="1"/>
    <x v="1"/>
    <x v="1"/>
    <x v="0"/>
    <x v="0"/>
    <x v="0"/>
    <x v="0"/>
    <m/>
    <x v="349"/>
  </r>
  <r>
    <s v="USR-100677"/>
    <d v="2025-05-03T00:00:00"/>
    <x v="0"/>
    <x v="1"/>
    <s v="Tablet"/>
    <x v="1"/>
    <x v="1"/>
    <x v="1"/>
    <x v="0"/>
    <x v="0"/>
    <x v="0"/>
    <x v="0"/>
    <x v="0"/>
    <x v="0"/>
    <m/>
    <x v="379"/>
  </r>
  <r>
    <s v="USR-100678"/>
    <d v="2025-01-14T00:00:00"/>
    <x v="0"/>
    <x v="3"/>
    <s v="Mobile"/>
    <x v="1"/>
    <x v="0"/>
    <x v="1"/>
    <x v="0"/>
    <x v="0"/>
    <x v="0"/>
    <x v="0"/>
    <x v="0"/>
    <x v="0"/>
    <m/>
    <x v="380"/>
  </r>
  <r>
    <s v="USR-100679"/>
    <d v="2025-03-27T00:00:00"/>
    <x v="0"/>
    <x v="1"/>
    <s v="Mobile"/>
    <x v="4"/>
    <x v="0"/>
    <x v="1"/>
    <x v="0"/>
    <x v="0"/>
    <x v="0"/>
    <x v="0"/>
    <x v="0"/>
    <x v="0"/>
    <m/>
    <x v="35"/>
  </r>
  <r>
    <s v="USR-100680"/>
    <d v="2025-02-28T00:00:00"/>
    <x v="0"/>
    <x v="0"/>
    <s v="Desktop"/>
    <x v="3"/>
    <x v="2"/>
    <x v="0"/>
    <x v="0"/>
    <x v="0"/>
    <x v="0"/>
    <x v="0"/>
    <x v="1"/>
    <x v="0"/>
    <m/>
    <x v="381"/>
  </r>
  <r>
    <s v="USR-100681"/>
    <d v="2025-05-12T00:00:00"/>
    <x v="0"/>
    <x v="1"/>
    <s v="Desktop"/>
    <x v="3"/>
    <x v="2"/>
    <x v="1"/>
    <x v="1"/>
    <x v="1"/>
    <x v="0"/>
    <x v="0"/>
    <x v="0"/>
    <x v="0"/>
    <m/>
    <x v="132"/>
  </r>
  <r>
    <s v="USR-100682"/>
    <d v="2025-03-14T00:00:00"/>
    <x v="0"/>
    <x v="0"/>
    <s v="Mobile"/>
    <x v="1"/>
    <x v="1"/>
    <x v="1"/>
    <x v="0"/>
    <x v="0"/>
    <x v="0"/>
    <x v="0"/>
    <x v="0"/>
    <x v="0"/>
    <m/>
    <x v="188"/>
  </r>
  <r>
    <s v="USR-100683"/>
    <d v="2025-05-20T00:00:00"/>
    <x v="0"/>
    <x v="2"/>
    <s v="Mobile"/>
    <x v="1"/>
    <x v="0"/>
    <x v="0"/>
    <x v="0"/>
    <x v="0"/>
    <x v="0"/>
    <x v="0"/>
    <x v="0"/>
    <x v="0"/>
    <m/>
    <x v="134"/>
  </r>
  <r>
    <s v="USR-100684"/>
    <d v="2025-02-24T00:00:00"/>
    <x v="0"/>
    <x v="3"/>
    <s v="Desktop"/>
    <x v="3"/>
    <x v="1"/>
    <x v="0"/>
    <x v="0"/>
    <x v="0"/>
    <x v="0"/>
    <x v="0"/>
    <x v="0"/>
    <x v="0"/>
    <m/>
    <x v="382"/>
  </r>
  <r>
    <s v="USR-100685"/>
    <d v="2025-02-13T00:00:00"/>
    <x v="0"/>
    <x v="1"/>
    <s v="Mobile"/>
    <x v="1"/>
    <x v="2"/>
    <x v="1"/>
    <x v="0"/>
    <x v="0"/>
    <x v="0"/>
    <x v="0"/>
    <x v="1"/>
    <x v="0"/>
    <m/>
    <x v="378"/>
  </r>
  <r>
    <s v="USR-100686"/>
    <d v="2025-02-06T00:00:00"/>
    <x v="0"/>
    <x v="3"/>
    <s v="Desktop"/>
    <x v="1"/>
    <x v="1"/>
    <x v="1"/>
    <x v="1"/>
    <x v="1"/>
    <x v="0"/>
    <x v="0"/>
    <x v="0"/>
    <x v="0"/>
    <m/>
    <x v="290"/>
  </r>
  <r>
    <s v="USR-100687"/>
    <d v="2025-03-02T00:00:00"/>
    <x v="0"/>
    <x v="0"/>
    <s v="Mobile"/>
    <x v="4"/>
    <x v="0"/>
    <x v="1"/>
    <x v="0"/>
    <x v="0"/>
    <x v="0"/>
    <x v="0"/>
    <x v="0"/>
    <x v="0"/>
    <m/>
    <x v="236"/>
  </r>
  <r>
    <s v="USR-100688"/>
    <d v="2025-04-28T00:00:00"/>
    <x v="0"/>
    <x v="2"/>
    <s v="Desktop"/>
    <x v="2"/>
    <x v="1"/>
    <x v="0"/>
    <x v="0"/>
    <x v="0"/>
    <x v="0"/>
    <x v="0"/>
    <x v="0"/>
    <x v="0"/>
    <m/>
    <x v="383"/>
  </r>
  <r>
    <s v="USR-100689"/>
    <d v="2025-05-27T00:00:00"/>
    <x v="0"/>
    <x v="0"/>
    <s v="Desktop"/>
    <x v="5"/>
    <x v="2"/>
    <x v="1"/>
    <x v="0"/>
    <x v="0"/>
    <x v="0"/>
    <x v="0"/>
    <x v="0"/>
    <x v="0"/>
    <m/>
    <x v="135"/>
  </r>
  <r>
    <s v="USR-100690"/>
    <d v="2025-04-07T00:00:00"/>
    <x v="0"/>
    <x v="3"/>
    <s v="Desktop"/>
    <x v="1"/>
    <x v="0"/>
    <x v="0"/>
    <x v="0"/>
    <x v="0"/>
    <x v="0"/>
    <x v="0"/>
    <x v="2"/>
    <x v="0"/>
    <m/>
    <x v="384"/>
  </r>
  <r>
    <s v="USR-100691"/>
    <d v="2025-04-14T00:00:00"/>
    <x v="1"/>
    <x v="2"/>
    <s v="Desktop"/>
    <x v="4"/>
    <x v="0"/>
    <x v="1"/>
    <x v="0"/>
    <x v="0"/>
    <x v="0"/>
    <x v="0"/>
    <x v="0"/>
    <x v="0"/>
    <m/>
    <x v="385"/>
  </r>
  <r>
    <s v="USR-100692"/>
    <d v="2025-05-09T00:00:00"/>
    <x v="1"/>
    <x v="2"/>
    <s v="Desktop"/>
    <x v="1"/>
    <x v="0"/>
    <x v="1"/>
    <x v="1"/>
    <x v="1"/>
    <x v="0"/>
    <x v="0"/>
    <x v="3"/>
    <x v="0"/>
    <m/>
    <x v="131"/>
  </r>
  <r>
    <s v="USR-100693"/>
    <d v="2025-03-21T00:00:00"/>
    <x v="1"/>
    <x v="0"/>
    <s v="Mobile"/>
    <x v="1"/>
    <x v="1"/>
    <x v="1"/>
    <x v="1"/>
    <x v="1"/>
    <x v="0"/>
    <x v="0"/>
    <x v="0"/>
    <x v="0"/>
    <m/>
    <x v="386"/>
  </r>
  <r>
    <s v="USR-100694"/>
    <d v="2025-03-27T00:00:00"/>
    <x v="1"/>
    <x v="0"/>
    <s v="Desktop"/>
    <x v="4"/>
    <x v="1"/>
    <x v="1"/>
    <x v="0"/>
    <x v="0"/>
    <x v="0"/>
    <x v="0"/>
    <x v="0"/>
    <x v="0"/>
    <m/>
    <x v="103"/>
  </r>
  <r>
    <s v="USR-100695"/>
    <d v="2025-01-21T00:00:00"/>
    <x v="1"/>
    <x v="3"/>
    <s v="Mobile"/>
    <x v="2"/>
    <x v="1"/>
    <x v="0"/>
    <x v="0"/>
    <x v="0"/>
    <x v="0"/>
    <x v="0"/>
    <x v="0"/>
    <x v="0"/>
    <m/>
    <x v="387"/>
  </r>
  <r>
    <s v="USR-100696"/>
    <d v="2025-03-19T00:00:00"/>
    <x v="1"/>
    <x v="2"/>
    <s v="Desktop"/>
    <x v="0"/>
    <x v="1"/>
    <x v="1"/>
    <x v="0"/>
    <x v="0"/>
    <x v="0"/>
    <x v="0"/>
    <x v="0"/>
    <x v="0"/>
    <m/>
    <x v="307"/>
  </r>
  <r>
    <s v="USR-100697"/>
    <d v="2025-05-27T00:00:00"/>
    <x v="1"/>
    <x v="0"/>
    <s v="Mobile"/>
    <x v="1"/>
    <x v="0"/>
    <x v="1"/>
    <x v="0"/>
    <x v="0"/>
    <x v="0"/>
    <x v="0"/>
    <x v="0"/>
    <x v="0"/>
    <m/>
    <x v="388"/>
  </r>
  <r>
    <s v="USR-100698"/>
    <d v="2025-01-01T00:00:00"/>
    <x v="1"/>
    <x v="0"/>
    <s v="Mobile"/>
    <x v="4"/>
    <x v="1"/>
    <x v="1"/>
    <x v="1"/>
    <x v="1"/>
    <x v="0"/>
    <x v="0"/>
    <x v="0"/>
    <x v="0"/>
    <m/>
    <x v="272"/>
  </r>
  <r>
    <s v="USR-100699"/>
    <d v="2025-03-29T00:00:00"/>
    <x v="1"/>
    <x v="1"/>
    <s v="Desktop"/>
    <x v="2"/>
    <x v="2"/>
    <x v="1"/>
    <x v="0"/>
    <x v="0"/>
    <x v="0"/>
    <x v="0"/>
    <x v="1"/>
    <x v="0"/>
    <m/>
    <x v="389"/>
  </r>
  <r>
    <s v="USR-100700"/>
    <d v="2025-03-17T00:00:00"/>
    <x v="1"/>
    <x v="1"/>
    <s v="Desktop"/>
    <x v="1"/>
    <x v="0"/>
    <x v="1"/>
    <x v="0"/>
    <x v="0"/>
    <x v="0"/>
    <x v="0"/>
    <x v="1"/>
    <x v="0"/>
    <m/>
    <x v="308"/>
  </r>
  <r>
    <s v="USR-100701"/>
    <d v="2025-05-05T00:00:00"/>
    <x v="1"/>
    <x v="0"/>
    <s v="Mobile"/>
    <x v="1"/>
    <x v="1"/>
    <x v="1"/>
    <x v="1"/>
    <x v="1"/>
    <x v="1"/>
    <x v="23"/>
    <x v="0"/>
    <x v="0"/>
    <n v="10"/>
    <x v="390"/>
  </r>
  <r>
    <s v="USR-100702"/>
    <d v="2025-05-04T00:00:00"/>
    <x v="1"/>
    <x v="3"/>
    <s v="Mobile"/>
    <x v="4"/>
    <x v="1"/>
    <x v="1"/>
    <x v="0"/>
    <x v="0"/>
    <x v="0"/>
    <x v="0"/>
    <x v="0"/>
    <x v="0"/>
    <m/>
    <x v="391"/>
  </r>
  <r>
    <s v="USR-100703"/>
    <d v="2025-03-25T00:00:00"/>
    <x v="1"/>
    <x v="0"/>
    <s v="Mobile"/>
    <x v="4"/>
    <x v="2"/>
    <x v="0"/>
    <x v="0"/>
    <x v="0"/>
    <x v="0"/>
    <x v="0"/>
    <x v="3"/>
    <x v="0"/>
    <m/>
    <x v="383"/>
  </r>
  <r>
    <s v="USR-100704"/>
    <d v="2025-04-17T00:00:00"/>
    <x v="1"/>
    <x v="1"/>
    <s v="Mobile"/>
    <x v="0"/>
    <x v="1"/>
    <x v="0"/>
    <x v="0"/>
    <x v="0"/>
    <x v="0"/>
    <x v="0"/>
    <x v="1"/>
    <x v="0"/>
    <m/>
    <x v="392"/>
  </r>
  <r>
    <s v="USR-100705"/>
    <d v="2025-05-23T00:00:00"/>
    <x v="1"/>
    <x v="3"/>
    <s v="Mobile"/>
    <x v="3"/>
    <x v="0"/>
    <x v="1"/>
    <x v="1"/>
    <x v="1"/>
    <x v="0"/>
    <x v="0"/>
    <x v="1"/>
    <x v="0"/>
    <m/>
    <x v="393"/>
  </r>
  <r>
    <s v="USR-100706"/>
    <d v="2025-01-13T00:00:00"/>
    <x v="1"/>
    <x v="0"/>
    <s v="Mobile"/>
    <x v="1"/>
    <x v="0"/>
    <x v="0"/>
    <x v="0"/>
    <x v="0"/>
    <x v="0"/>
    <x v="0"/>
    <x v="0"/>
    <x v="0"/>
    <m/>
    <x v="304"/>
  </r>
  <r>
    <s v="USR-100707"/>
    <d v="2025-01-29T00:00:00"/>
    <x v="1"/>
    <x v="0"/>
    <s v="Desktop"/>
    <x v="1"/>
    <x v="0"/>
    <x v="1"/>
    <x v="0"/>
    <x v="0"/>
    <x v="0"/>
    <x v="0"/>
    <x v="0"/>
    <x v="0"/>
    <m/>
    <x v="103"/>
  </r>
  <r>
    <s v="USR-100708"/>
    <d v="2025-05-11T00:00:00"/>
    <x v="1"/>
    <x v="3"/>
    <s v="Mobile"/>
    <x v="0"/>
    <x v="1"/>
    <x v="0"/>
    <x v="0"/>
    <x v="0"/>
    <x v="0"/>
    <x v="0"/>
    <x v="0"/>
    <x v="0"/>
    <m/>
    <x v="394"/>
  </r>
  <r>
    <s v="USR-100709"/>
    <d v="2025-04-22T00:00:00"/>
    <x v="1"/>
    <x v="3"/>
    <s v="Mobile"/>
    <x v="1"/>
    <x v="0"/>
    <x v="1"/>
    <x v="0"/>
    <x v="0"/>
    <x v="0"/>
    <x v="0"/>
    <x v="0"/>
    <x v="0"/>
    <m/>
    <x v="395"/>
  </r>
  <r>
    <s v="USR-100710"/>
    <d v="2025-03-03T00:00:00"/>
    <x v="1"/>
    <x v="3"/>
    <s v="Mobile"/>
    <x v="4"/>
    <x v="1"/>
    <x v="1"/>
    <x v="1"/>
    <x v="1"/>
    <x v="0"/>
    <x v="0"/>
    <x v="1"/>
    <x v="0"/>
    <m/>
    <x v="28"/>
  </r>
  <r>
    <s v="USR-100711"/>
    <d v="2025-03-18T00:00:00"/>
    <x v="1"/>
    <x v="0"/>
    <s v="Mobile"/>
    <x v="3"/>
    <x v="1"/>
    <x v="1"/>
    <x v="0"/>
    <x v="0"/>
    <x v="0"/>
    <x v="0"/>
    <x v="0"/>
    <x v="0"/>
    <m/>
    <x v="88"/>
  </r>
  <r>
    <s v="USR-100712"/>
    <d v="2025-04-05T00:00:00"/>
    <x v="1"/>
    <x v="0"/>
    <s v="Mobile"/>
    <x v="1"/>
    <x v="0"/>
    <x v="1"/>
    <x v="0"/>
    <x v="0"/>
    <x v="0"/>
    <x v="0"/>
    <x v="0"/>
    <x v="0"/>
    <m/>
    <x v="39"/>
  </r>
  <r>
    <s v="USR-100713"/>
    <d v="2025-04-16T00:00:00"/>
    <x v="1"/>
    <x v="2"/>
    <s v="Mobile"/>
    <x v="1"/>
    <x v="1"/>
    <x v="1"/>
    <x v="1"/>
    <x v="1"/>
    <x v="1"/>
    <x v="24"/>
    <x v="0"/>
    <x v="0"/>
    <n v="11"/>
    <x v="273"/>
  </r>
  <r>
    <s v="USR-100714"/>
    <d v="2025-04-20T00:00:00"/>
    <x v="1"/>
    <x v="3"/>
    <s v="Mobile"/>
    <x v="3"/>
    <x v="1"/>
    <x v="1"/>
    <x v="1"/>
    <x v="1"/>
    <x v="1"/>
    <x v="25"/>
    <x v="2"/>
    <x v="0"/>
    <n v="8"/>
    <x v="290"/>
  </r>
  <r>
    <s v="USR-100715"/>
    <d v="2025-02-15T00:00:00"/>
    <x v="1"/>
    <x v="3"/>
    <s v="Mobile"/>
    <x v="1"/>
    <x v="1"/>
    <x v="0"/>
    <x v="0"/>
    <x v="0"/>
    <x v="0"/>
    <x v="0"/>
    <x v="0"/>
    <x v="0"/>
    <m/>
    <x v="170"/>
  </r>
  <r>
    <s v="USR-100716"/>
    <d v="2025-01-21T00:00:00"/>
    <x v="1"/>
    <x v="3"/>
    <s v="Mobile"/>
    <x v="1"/>
    <x v="1"/>
    <x v="1"/>
    <x v="0"/>
    <x v="0"/>
    <x v="0"/>
    <x v="0"/>
    <x v="0"/>
    <x v="0"/>
    <m/>
    <x v="234"/>
  </r>
  <r>
    <s v="USR-100717"/>
    <d v="2025-05-23T00:00:00"/>
    <x v="1"/>
    <x v="0"/>
    <s v="Mobile"/>
    <x v="2"/>
    <x v="2"/>
    <x v="1"/>
    <x v="1"/>
    <x v="1"/>
    <x v="0"/>
    <x v="0"/>
    <x v="0"/>
    <x v="0"/>
    <m/>
    <x v="396"/>
  </r>
  <r>
    <s v="USR-100718"/>
    <d v="2025-01-22T00:00:00"/>
    <x v="1"/>
    <x v="1"/>
    <s v="Mobile"/>
    <x v="2"/>
    <x v="0"/>
    <x v="0"/>
    <x v="0"/>
    <x v="0"/>
    <x v="0"/>
    <x v="0"/>
    <x v="0"/>
    <x v="0"/>
    <m/>
    <x v="96"/>
  </r>
  <r>
    <s v="USR-100719"/>
    <d v="2025-04-24T00:00:00"/>
    <x v="1"/>
    <x v="1"/>
    <s v="Mobile"/>
    <x v="2"/>
    <x v="2"/>
    <x v="0"/>
    <x v="0"/>
    <x v="0"/>
    <x v="0"/>
    <x v="0"/>
    <x v="0"/>
    <x v="0"/>
    <m/>
    <x v="10"/>
  </r>
  <r>
    <s v="USR-100720"/>
    <d v="2025-01-17T00:00:00"/>
    <x v="1"/>
    <x v="1"/>
    <s v="Desktop"/>
    <x v="0"/>
    <x v="1"/>
    <x v="0"/>
    <x v="0"/>
    <x v="0"/>
    <x v="0"/>
    <x v="0"/>
    <x v="2"/>
    <x v="0"/>
    <m/>
    <x v="195"/>
  </r>
  <r>
    <s v="USR-100721"/>
    <d v="2025-01-22T00:00:00"/>
    <x v="1"/>
    <x v="2"/>
    <s v="Mobile"/>
    <x v="3"/>
    <x v="0"/>
    <x v="1"/>
    <x v="1"/>
    <x v="0"/>
    <x v="0"/>
    <x v="0"/>
    <x v="0"/>
    <x v="0"/>
    <m/>
    <x v="397"/>
  </r>
  <r>
    <s v="USR-100722"/>
    <d v="2025-05-04T00:00:00"/>
    <x v="1"/>
    <x v="2"/>
    <s v="Desktop"/>
    <x v="2"/>
    <x v="1"/>
    <x v="1"/>
    <x v="0"/>
    <x v="0"/>
    <x v="0"/>
    <x v="0"/>
    <x v="0"/>
    <x v="0"/>
    <m/>
    <x v="398"/>
  </r>
  <r>
    <s v="USR-100723"/>
    <d v="2025-03-13T00:00:00"/>
    <x v="1"/>
    <x v="3"/>
    <s v="Mobile"/>
    <x v="5"/>
    <x v="1"/>
    <x v="0"/>
    <x v="0"/>
    <x v="0"/>
    <x v="0"/>
    <x v="0"/>
    <x v="0"/>
    <x v="0"/>
    <m/>
    <x v="190"/>
  </r>
  <r>
    <s v="USR-100724"/>
    <d v="2025-01-02T00:00:00"/>
    <x v="1"/>
    <x v="0"/>
    <s v="Mobile"/>
    <x v="1"/>
    <x v="0"/>
    <x v="1"/>
    <x v="0"/>
    <x v="0"/>
    <x v="0"/>
    <x v="0"/>
    <x v="0"/>
    <x v="0"/>
    <m/>
    <x v="318"/>
  </r>
  <r>
    <s v="USR-100725"/>
    <d v="2025-01-13T00:00:00"/>
    <x v="1"/>
    <x v="2"/>
    <s v="Mobile"/>
    <x v="2"/>
    <x v="0"/>
    <x v="0"/>
    <x v="0"/>
    <x v="0"/>
    <x v="0"/>
    <x v="0"/>
    <x v="0"/>
    <x v="0"/>
    <m/>
    <x v="133"/>
  </r>
  <r>
    <s v="USR-100726"/>
    <d v="2025-02-09T00:00:00"/>
    <x v="1"/>
    <x v="2"/>
    <s v="Mobile"/>
    <x v="4"/>
    <x v="1"/>
    <x v="1"/>
    <x v="1"/>
    <x v="1"/>
    <x v="0"/>
    <x v="0"/>
    <x v="0"/>
    <x v="0"/>
    <m/>
    <x v="339"/>
  </r>
  <r>
    <s v="USR-100727"/>
    <d v="2025-04-09T00:00:00"/>
    <x v="1"/>
    <x v="2"/>
    <s v="Desktop"/>
    <x v="4"/>
    <x v="1"/>
    <x v="1"/>
    <x v="1"/>
    <x v="0"/>
    <x v="0"/>
    <x v="0"/>
    <x v="2"/>
    <x v="0"/>
    <m/>
    <x v="118"/>
  </r>
  <r>
    <s v="USR-100728"/>
    <d v="2025-01-02T00:00:00"/>
    <x v="1"/>
    <x v="3"/>
    <s v="Mobile"/>
    <x v="2"/>
    <x v="1"/>
    <x v="1"/>
    <x v="1"/>
    <x v="1"/>
    <x v="1"/>
    <x v="26"/>
    <x v="0"/>
    <x v="0"/>
    <n v="7"/>
    <x v="330"/>
  </r>
  <r>
    <s v="USR-100729"/>
    <d v="2025-02-04T00:00:00"/>
    <x v="1"/>
    <x v="3"/>
    <s v="Mobile"/>
    <x v="5"/>
    <x v="2"/>
    <x v="1"/>
    <x v="0"/>
    <x v="0"/>
    <x v="0"/>
    <x v="0"/>
    <x v="0"/>
    <x v="0"/>
    <m/>
    <x v="132"/>
  </r>
  <r>
    <s v="USR-100730"/>
    <d v="2025-02-19T00:00:00"/>
    <x v="1"/>
    <x v="3"/>
    <s v="Tablet"/>
    <x v="2"/>
    <x v="1"/>
    <x v="0"/>
    <x v="0"/>
    <x v="0"/>
    <x v="0"/>
    <x v="0"/>
    <x v="0"/>
    <x v="0"/>
    <m/>
    <x v="399"/>
  </r>
  <r>
    <s v="USR-100731"/>
    <d v="2025-04-01T00:00:00"/>
    <x v="1"/>
    <x v="2"/>
    <s v="Mobile"/>
    <x v="2"/>
    <x v="0"/>
    <x v="1"/>
    <x v="0"/>
    <x v="0"/>
    <x v="0"/>
    <x v="0"/>
    <x v="2"/>
    <x v="0"/>
    <m/>
    <x v="295"/>
  </r>
  <r>
    <s v="USR-100732"/>
    <d v="2025-01-29T00:00:00"/>
    <x v="1"/>
    <x v="0"/>
    <s v="Mobile"/>
    <x v="3"/>
    <x v="1"/>
    <x v="1"/>
    <x v="1"/>
    <x v="1"/>
    <x v="1"/>
    <x v="27"/>
    <x v="1"/>
    <x v="0"/>
    <n v="4"/>
    <x v="186"/>
  </r>
  <r>
    <s v="USR-100733"/>
    <d v="2025-05-18T00:00:00"/>
    <x v="1"/>
    <x v="0"/>
    <s v="Mobile"/>
    <x v="3"/>
    <x v="0"/>
    <x v="1"/>
    <x v="1"/>
    <x v="1"/>
    <x v="0"/>
    <x v="0"/>
    <x v="0"/>
    <x v="0"/>
    <m/>
    <x v="191"/>
  </r>
  <r>
    <s v="USR-100734"/>
    <d v="2025-04-15T00:00:00"/>
    <x v="1"/>
    <x v="2"/>
    <s v="Desktop"/>
    <x v="4"/>
    <x v="2"/>
    <x v="1"/>
    <x v="1"/>
    <x v="0"/>
    <x v="0"/>
    <x v="0"/>
    <x v="0"/>
    <x v="0"/>
    <m/>
    <x v="400"/>
  </r>
  <r>
    <s v="USR-100735"/>
    <d v="2025-03-28T00:00:00"/>
    <x v="1"/>
    <x v="2"/>
    <s v="Desktop"/>
    <x v="0"/>
    <x v="1"/>
    <x v="1"/>
    <x v="0"/>
    <x v="0"/>
    <x v="0"/>
    <x v="0"/>
    <x v="1"/>
    <x v="0"/>
    <m/>
    <x v="401"/>
  </r>
  <r>
    <s v="USR-100736"/>
    <d v="2025-04-01T00:00:00"/>
    <x v="1"/>
    <x v="1"/>
    <s v="Mobile"/>
    <x v="2"/>
    <x v="0"/>
    <x v="1"/>
    <x v="1"/>
    <x v="0"/>
    <x v="0"/>
    <x v="0"/>
    <x v="1"/>
    <x v="0"/>
    <m/>
    <x v="108"/>
  </r>
  <r>
    <s v="USR-100737"/>
    <d v="2025-02-11T00:00:00"/>
    <x v="1"/>
    <x v="1"/>
    <s v="Mobile"/>
    <x v="4"/>
    <x v="0"/>
    <x v="1"/>
    <x v="0"/>
    <x v="0"/>
    <x v="0"/>
    <x v="0"/>
    <x v="0"/>
    <x v="0"/>
    <m/>
    <x v="186"/>
  </r>
  <r>
    <s v="USR-100738"/>
    <d v="2025-03-04T00:00:00"/>
    <x v="1"/>
    <x v="3"/>
    <s v="Mobile"/>
    <x v="1"/>
    <x v="1"/>
    <x v="1"/>
    <x v="1"/>
    <x v="1"/>
    <x v="0"/>
    <x v="0"/>
    <x v="0"/>
    <x v="0"/>
    <m/>
    <x v="402"/>
  </r>
  <r>
    <s v="USR-100739"/>
    <d v="2025-01-21T00:00:00"/>
    <x v="1"/>
    <x v="0"/>
    <s v="Tablet"/>
    <x v="4"/>
    <x v="0"/>
    <x v="0"/>
    <x v="0"/>
    <x v="0"/>
    <x v="0"/>
    <x v="0"/>
    <x v="2"/>
    <x v="0"/>
    <m/>
    <x v="403"/>
  </r>
  <r>
    <s v="USR-100740"/>
    <d v="2025-02-14T00:00:00"/>
    <x v="1"/>
    <x v="0"/>
    <s v="Mobile"/>
    <x v="3"/>
    <x v="1"/>
    <x v="0"/>
    <x v="0"/>
    <x v="0"/>
    <x v="0"/>
    <x v="0"/>
    <x v="1"/>
    <x v="0"/>
    <m/>
    <x v="141"/>
  </r>
  <r>
    <s v="USR-100741"/>
    <d v="2025-03-30T00:00:00"/>
    <x v="1"/>
    <x v="0"/>
    <s v="Desktop"/>
    <x v="5"/>
    <x v="2"/>
    <x v="1"/>
    <x v="0"/>
    <x v="0"/>
    <x v="0"/>
    <x v="0"/>
    <x v="2"/>
    <x v="0"/>
    <m/>
    <x v="40"/>
  </r>
  <r>
    <s v="USR-100742"/>
    <d v="2025-01-08T00:00:00"/>
    <x v="1"/>
    <x v="0"/>
    <s v="Mobile"/>
    <x v="3"/>
    <x v="1"/>
    <x v="0"/>
    <x v="0"/>
    <x v="0"/>
    <x v="0"/>
    <x v="0"/>
    <x v="0"/>
    <x v="0"/>
    <m/>
    <x v="246"/>
  </r>
  <r>
    <s v="USR-100743"/>
    <d v="2025-02-07T00:00:00"/>
    <x v="1"/>
    <x v="0"/>
    <s v="Mobile"/>
    <x v="4"/>
    <x v="1"/>
    <x v="1"/>
    <x v="1"/>
    <x v="1"/>
    <x v="0"/>
    <x v="0"/>
    <x v="0"/>
    <x v="0"/>
    <m/>
    <x v="15"/>
  </r>
  <r>
    <s v="USR-100744"/>
    <d v="2025-02-01T00:00:00"/>
    <x v="1"/>
    <x v="0"/>
    <s v="Tablet"/>
    <x v="2"/>
    <x v="0"/>
    <x v="0"/>
    <x v="0"/>
    <x v="0"/>
    <x v="0"/>
    <x v="0"/>
    <x v="0"/>
    <x v="0"/>
    <m/>
    <x v="321"/>
  </r>
  <r>
    <s v="USR-100745"/>
    <d v="2025-01-04T00:00:00"/>
    <x v="1"/>
    <x v="2"/>
    <s v="Mobile"/>
    <x v="0"/>
    <x v="1"/>
    <x v="1"/>
    <x v="1"/>
    <x v="1"/>
    <x v="0"/>
    <x v="0"/>
    <x v="0"/>
    <x v="0"/>
    <m/>
    <x v="331"/>
  </r>
  <r>
    <s v="USR-100746"/>
    <d v="2025-05-16T00:00:00"/>
    <x v="1"/>
    <x v="3"/>
    <s v="Desktop"/>
    <x v="3"/>
    <x v="1"/>
    <x v="0"/>
    <x v="0"/>
    <x v="0"/>
    <x v="0"/>
    <x v="0"/>
    <x v="0"/>
    <x v="0"/>
    <m/>
    <x v="404"/>
  </r>
  <r>
    <s v="USR-100747"/>
    <d v="2025-02-28T00:00:00"/>
    <x v="1"/>
    <x v="1"/>
    <s v="Mobile"/>
    <x v="3"/>
    <x v="1"/>
    <x v="1"/>
    <x v="0"/>
    <x v="0"/>
    <x v="0"/>
    <x v="0"/>
    <x v="0"/>
    <x v="0"/>
    <m/>
    <x v="319"/>
  </r>
  <r>
    <s v="USR-100748"/>
    <d v="2025-04-12T00:00:00"/>
    <x v="1"/>
    <x v="0"/>
    <s v="Mobile"/>
    <x v="3"/>
    <x v="1"/>
    <x v="1"/>
    <x v="0"/>
    <x v="0"/>
    <x v="0"/>
    <x v="0"/>
    <x v="0"/>
    <x v="0"/>
    <m/>
    <x v="158"/>
  </r>
  <r>
    <s v="USR-100749"/>
    <d v="2025-03-23T00:00:00"/>
    <x v="1"/>
    <x v="3"/>
    <s v="Desktop"/>
    <x v="1"/>
    <x v="1"/>
    <x v="0"/>
    <x v="0"/>
    <x v="0"/>
    <x v="0"/>
    <x v="0"/>
    <x v="0"/>
    <x v="0"/>
    <m/>
    <x v="269"/>
  </r>
  <r>
    <s v="USR-100750"/>
    <d v="2025-05-29T00:00:00"/>
    <x v="1"/>
    <x v="0"/>
    <s v="Tablet"/>
    <x v="1"/>
    <x v="1"/>
    <x v="1"/>
    <x v="0"/>
    <x v="0"/>
    <x v="0"/>
    <x v="0"/>
    <x v="0"/>
    <x v="0"/>
    <m/>
    <x v="354"/>
  </r>
  <r>
    <s v="USR-100751"/>
    <d v="2025-05-21T00:00:00"/>
    <x v="1"/>
    <x v="3"/>
    <s v="Desktop"/>
    <x v="1"/>
    <x v="0"/>
    <x v="0"/>
    <x v="0"/>
    <x v="0"/>
    <x v="0"/>
    <x v="0"/>
    <x v="0"/>
    <x v="0"/>
    <m/>
    <x v="92"/>
  </r>
  <r>
    <s v="USR-100752"/>
    <d v="2025-01-05T00:00:00"/>
    <x v="1"/>
    <x v="3"/>
    <s v="Mobile"/>
    <x v="3"/>
    <x v="2"/>
    <x v="0"/>
    <x v="0"/>
    <x v="0"/>
    <x v="0"/>
    <x v="0"/>
    <x v="0"/>
    <x v="0"/>
    <m/>
    <x v="405"/>
  </r>
  <r>
    <s v="USR-100753"/>
    <d v="2025-03-19T00:00:00"/>
    <x v="1"/>
    <x v="2"/>
    <s v="Tablet"/>
    <x v="1"/>
    <x v="1"/>
    <x v="1"/>
    <x v="0"/>
    <x v="0"/>
    <x v="0"/>
    <x v="0"/>
    <x v="0"/>
    <x v="0"/>
    <m/>
    <x v="14"/>
  </r>
  <r>
    <s v="USR-100754"/>
    <d v="2025-04-24T00:00:00"/>
    <x v="1"/>
    <x v="2"/>
    <s v="Mobile"/>
    <x v="1"/>
    <x v="1"/>
    <x v="1"/>
    <x v="0"/>
    <x v="0"/>
    <x v="0"/>
    <x v="0"/>
    <x v="1"/>
    <x v="0"/>
    <m/>
    <x v="155"/>
  </r>
  <r>
    <s v="USR-100755"/>
    <d v="2025-03-10T00:00:00"/>
    <x v="1"/>
    <x v="0"/>
    <s v="Tablet"/>
    <x v="1"/>
    <x v="1"/>
    <x v="0"/>
    <x v="0"/>
    <x v="0"/>
    <x v="0"/>
    <x v="0"/>
    <x v="3"/>
    <x v="0"/>
    <m/>
    <x v="276"/>
  </r>
  <r>
    <s v="USR-100756"/>
    <d v="2025-02-22T00:00:00"/>
    <x v="1"/>
    <x v="3"/>
    <s v="Tablet"/>
    <x v="3"/>
    <x v="0"/>
    <x v="1"/>
    <x v="0"/>
    <x v="0"/>
    <x v="0"/>
    <x v="0"/>
    <x v="0"/>
    <x v="0"/>
    <m/>
    <x v="141"/>
  </r>
  <r>
    <s v="USR-100757"/>
    <d v="2025-05-17T00:00:00"/>
    <x v="1"/>
    <x v="2"/>
    <s v="Mobile"/>
    <x v="4"/>
    <x v="1"/>
    <x v="0"/>
    <x v="0"/>
    <x v="0"/>
    <x v="0"/>
    <x v="0"/>
    <x v="1"/>
    <x v="0"/>
    <m/>
    <x v="24"/>
  </r>
  <r>
    <s v="USR-100758"/>
    <d v="2025-05-09T00:00:00"/>
    <x v="1"/>
    <x v="2"/>
    <s v="Tablet"/>
    <x v="3"/>
    <x v="2"/>
    <x v="1"/>
    <x v="1"/>
    <x v="1"/>
    <x v="1"/>
    <x v="28"/>
    <x v="1"/>
    <x v="0"/>
    <n v="7"/>
    <x v="132"/>
  </r>
  <r>
    <s v="USR-100759"/>
    <d v="2025-04-26T00:00:00"/>
    <x v="1"/>
    <x v="2"/>
    <s v="Tablet"/>
    <x v="1"/>
    <x v="2"/>
    <x v="1"/>
    <x v="0"/>
    <x v="0"/>
    <x v="0"/>
    <x v="0"/>
    <x v="0"/>
    <x v="0"/>
    <m/>
    <x v="210"/>
  </r>
  <r>
    <s v="USR-100760"/>
    <d v="2025-03-15T00:00:00"/>
    <x v="1"/>
    <x v="1"/>
    <s v="Desktop"/>
    <x v="4"/>
    <x v="1"/>
    <x v="1"/>
    <x v="1"/>
    <x v="1"/>
    <x v="0"/>
    <x v="0"/>
    <x v="0"/>
    <x v="0"/>
    <m/>
    <x v="406"/>
  </r>
  <r>
    <s v="USR-100761"/>
    <d v="2025-04-03T00:00:00"/>
    <x v="1"/>
    <x v="0"/>
    <s v="Mobile"/>
    <x v="2"/>
    <x v="1"/>
    <x v="0"/>
    <x v="0"/>
    <x v="0"/>
    <x v="0"/>
    <x v="0"/>
    <x v="0"/>
    <x v="0"/>
    <m/>
    <x v="379"/>
  </r>
  <r>
    <s v="USR-100762"/>
    <d v="2025-03-26T00:00:00"/>
    <x v="1"/>
    <x v="3"/>
    <s v="Mobile"/>
    <x v="2"/>
    <x v="1"/>
    <x v="0"/>
    <x v="0"/>
    <x v="0"/>
    <x v="0"/>
    <x v="0"/>
    <x v="0"/>
    <x v="0"/>
    <m/>
    <x v="103"/>
  </r>
  <r>
    <s v="USR-100763"/>
    <d v="2025-02-05T00:00:00"/>
    <x v="1"/>
    <x v="1"/>
    <s v="Desktop"/>
    <x v="1"/>
    <x v="0"/>
    <x v="1"/>
    <x v="1"/>
    <x v="0"/>
    <x v="0"/>
    <x v="0"/>
    <x v="2"/>
    <x v="0"/>
    <m/>
    <x v="388"/>
  </r>
  <r>
    <s v="USR-100764"/>
    <d v="2025-05-08T00:00:00"/>
    <x v="1"/>
    <x v="3"/>
    <s v="Mobile"/>
    <x v="4"/>
    <x v="0"/>
    <x v="1"/>
    <x v="1"/>
    <x v="0"/>
    <x v="0"/>
    <x v="0"/>
    <x v="0"/>
    <x v="0"/>
    <m/>
    <x v="183"/>
  </r>
  <r>
    <s v="USR-100765"/>
    <d v="2025-03-25T00:00:00"/>
    <x v="1"/>
    <x v="3"/>
    <s v="Desktop"/>
    <x v="1"/>
    <x v="0"/>
    <x v="0"/>
    <x v="0"/>
    <x v="0"/>
    <x v="0"/>
    <x v="0"/>
    <x v="1"/>
    <x v="0"/>
    <m/>
    <x v="28"/>
  </r>
  <r>
    <s v="USR-100766"/>
    <d v="2025-01-14T00:00:00"/>
    <x v="1"/>
    <x v="1"/>
    <s v="Unknown"/>
    <x v="0"/>
    <x v="0"/>
    <x v="1"/>
    <x v="1"/>
    <x v="1"/>
    <x v="0"/>
    <x v="0"/>
    <x v="1"/>
    <x v="0"/>
    <m/>
    <x v="354"/>
  </r>
  <r>
    <s v="USR-100767"/>
    <d v="2025-03-26T00:00:00"/>
    <x v="1"/>
    <x v="0"/>
    <s v="Mobile"/>
    <x v="1"/>
    <x v="1"/>
    <x v="1"/>
    <x v="1"/>
    <x v="0"/>
    <x v="0"/>
    <x v="0"/>
    <x v="2"/>
    <x v="0"/>
    <m/>
    <x v="18"/>
  </r>
  <r>
    <s v="USR-100768"/>
    <d v="2025-01-16T00:00:00"/>
    <x v="1"/>
    <x v="2"/>
    <s v="Mobile"/>
    <x v="3"/>
    <x v="1"/>
    <x v="1"/>
    <x v="0"/>
    <x v="0"/>
    <x v="0"/>
    <x v="0"/>
    <x v="0"/>
    <x v="0"/>
    <m/>
    <x v="348"/>
  </r>
  <r>
    <s v="USR-100769"/>
    <d v="2025-01-04T00:00:00"/>
    <x v="1"/>
    <x v="2"/>
    <s v="Mobile"/>
    <x v="4"/>
    <x v="1"/>
    <x v="1"/>
    <x v="0"/>
    <x v="0"/>
    <x v="0"/>
    <x v="0"/>
    <x v="0"/>
    <x v="0"/>
    <m/>
    <x v="212"/>
  </r>
  <r>
    <s v="USR-100770"/>
    <d v="2025-02-09T00:00:00"/>
    <x v="1"/>
    <x v="3"/>
    <s v="Desktop"/>
    <x v="1"/>
    <x v="2"/>
    <x v="1"/>
    <x v="1"/>
    <x v="1"/>
    <x v="0"/>
    <x v="0"/>
    <x v="0"/>
    <x v="0"/>
    <m/>
    <x v="407"/>
  </r>
  <r>
    <s v="USR-100771"/>
    <d v="2025-03-05T00:00:00"/>
    <x v="1"/>
    <x v="2"/>
    <s v="Desktop"/>
    <x v="1"/>
    <x v="1"/>
    <x v="1"/>
    <x v="0"/>
    <x v="0"/>
    <x v="0"/>
    <x v="0"/>
    <x v="0"/>
    <x v="0"/>
    <m/>
    <x v="284"/>
  </r>
  <r>
    <s v="USR-100772"/>
    <d v="2025-03-10T00:00:00"/>
    <x v="1"/>
    <x v="2"/>
    <s v="Mobile"/>
    <x v="3"/>
    <x v="0"/>
    <x v="1"/>
    <x v="0"/>
    <x v="0"/>
    <x v="0"/>
    <x v="0"/>
    <x v="0"/>
    <x v="0"/>
    <m/>
    <x v="408"/>
  </r>
  <r>
    <s v="USR-100773"/>
    <d v="2025-02-27T00:00:00"/>
    <x v="1"/>
    <x v="2"/>
    <s v="Desktop"/>
    <x v="2"/>
    <x v="1"/>
    <x v="1"/>
    <x v="0"/>
    <x v="0"/>
    <x v="0"/>
    <x v="0"/>
    <x v="0"/>
    <x v="0"/>
    <m/>
    <x v="409"/>
  </r>
  <r>
    <s v="USR-100774"/>
    <d v="2025-03-10T00:00:00"/>
    <x v="1"/>
    <x v="0"/>
    <s v="Desktop"/>
    <x v="3"/>
    <x v="0"/>
    <x v="1"/>
    <x v="1"/>
    <x v="0"/>
    <x v="0"/>
    <x v="0"/>
    <x v="0"/>
    <x v="0"/>
    <m/>
    <x v="104"/>
  </r>
  <r>
    <s v="USR-100775"/>
    <d v="2025-04-23T00:00:00"/>
    <x v="1"/>
    <x v="1"/>
    <s v="Mobile"/>
    <x v="4"/>
    <x v="1"/>
    <x v="0"/>
    <x v="0"/>
    <x v="0"/>
    <x v="0"/>
    <x v="0"/>
    <x v="2"/>
    <x v="0"/>
    <m/>
    <x v="220"/>
  </r>
  <r>
    <s v="USR-100776"/>
    <d v="2025-04-12T00:00:00"/>
    <x v="1"/>
    <x v="0"/>
    <s v="Desktop"/>
    <x v="2"/>
    <x v="1"/>
    <x v="1"/>
    <x v="0"/>
    <x v="0"/>
    <x v="0"/>
    <x v="0"/>
    <x v="0"/>
    <x v="0"/>
    <m/>
    <x v="60"/>
  </r>
  <r>
    <s v="USR-100777"/>
    <d v="2025-01-26T00:00:00"/>
    <x v="1"/>
    <x v="2"/>
    <s v="Desktop"/>
    <x v="3"/>
    <x v="1"/>
    <x v="0"/>
    <x v="0"/>
    <x v="0"/>
    <x v="0"/>
    <x v="0"/>
    <x v="0"/>
    <x v="0"/>
    <m/>
    <x v="94"/>
  </r>
  <r>
    <s v="USR-100778"/>
    <d v="2025-05-24T00:00:00"/>
    <x v="1"/>
    <x v="1"/>
    <s v="Tablet"/>
    <x v="2"/>
    <x v="1"/>
    <x v="0"/>
    <x v="0"/>
    <x v="0"/>
    <x v="0"/>
    <x v="0"/>
    <x v="0"/>
    <x v="0"/>
    <m/>
    <x v="19"/>
  </r>
  <r>
    <s v="USR-100779"/>
    <d v="2025-01-08T00:00:00"/>
    <x v="1"/>
    <x v="3"/>
    <s v="Mobile"/>
    <x v="1"/>
    <x v="1"/>
    <x v="1"/>
    <x v="0"/>
    <x v="0"/>
    <x v="0"/>
    <x v="0"/>
    <x v="0"/>
    <x v="0"/>
    <m/>
    <x v="410"/>
  </r>
  <r>
    <s v="USR-100780"/>
    <d v="2025-04-15T00:00:00"/>
    <x v="1"/>
    <x v="0"/>
    <s v="Mobile"/>
    <x v="3"/>
    <x v="1"/>
    <x v="1"/>
    <x v="1"/>
    <x v="0"/>
    <x v="0"/>
    <x v="0"/>
    <x v="0"/>
    <x v="0"/>
    <m/>
    <x v="313"/>
  </r>
  <r>
    <s v="USR-100781"/>
    <d v="2025-01-15T00:00:00"/>
    <x v="1"/>
    <x v="3"/>
    <s v="Desktop"/>
    <x v="2"/>
    <x v="1"/>
    <x v="1"/>
    <x v="0"/>
    <x v="0"/>
    <x v="0"/>
    <x v="0"/>
    <x v="0"/>
    <x v="0"/>
    <m/>
    <x v="411"/>
  </r>
  <r>
    <s v="USR-100782"/>
    <d v="2025-02-28T00:00:00"/>
    <x v="1"/>
    <x v="0"/>
    <s v="Mobile"/>
    <x v="1"/>
    <x v="0"/>
    <x v="1"/>
    <x v="1"/>
    <x v="1"/>
    <x v="0"/>
    <x v="0"/>
    <x v="0"/>
    <x v="0"/>
    <m/>
    <x v="193"/>
  </r>
  <r>
    <s v="USR-100783"/>
    <d v="2025-01-01T00:00:00"/>
    <x v="1"/>
    <x v="0"/>
    <s v="Tablet"/>
    <x v="1"/>
    <x v="0"/>
    <x v="0"/>
    <x v="0"/>
    <x v="0"/>
    <x v="0"/>
    <x v="0"/>
    <x v="0"/>
    <x v="0"/>
    <m/>
    <x v="162"/>
  </r>
  <r>
    <s v="USR-100784"/>
    <d v="2025-04-17T00:00:00"/>
    <x v="1"/>
    <x v="1"/>
    <s v="Mobile"/>
    <x v="3"/>
    <x v="1"/>
    <x v="1"/>
    <x v="0"/>
    <x v="0"/>
    <x v="0"/>
    <x v="0"/>
    <x v="0"/>
    <x v="0"/>
    <m/>
    <x v="59"/>
  </r>
  <r>
    <s v="USR-100785"/>
    <d v="2025-02-19T00:00:00"/>
    <x v="1"/>
    <x v="0"/>
    <s v="Mobile"/>
    <x v="0"/>
    <x v="0"/>
    <x v="1"/>
    <x v="1"/>
    <x v="0"/>
    <x v="0"/>
    <x v="0"/>
    <x v="0"/>
    <x v="0"/>
    <m/>
    <x v="30"/>
  </r>
  <r>
    <s v="USR-100786"/>
    <d v="2025-03-14T00:00:00"/>
    <x v="1"/>
    <x v="0"/>
    <s v="Desktop"/>
    <x v="1"/>
    <x v="1"/>
    <x v="1"/>
    <x v="0"/>
    <x v="0"/>
    <x v="0"/>
    <x v="0"/>
    <x v="0"/>
    <x v="0"/>
    <m/>
    <x v="131"/>
  </r>
  <r>
    <s v="USR-100787"/>
    <d v="2025-04-21T00:00:00"/>
    <x v="1"/>
    <x v="0"/>
    <s v="Mobile"/>
    <x v="1"/>
    <x v="1"/>
    <x v="1"/>
    <x v="1"/>
    <x v="0"/>
    <x v="0"/>
    <x v="0"/>
    <x v="0"/>
    <x v="0"/>
    <m/>
    <x v="69"/>
  </r>
  <r>
    <s v="USR-100788"/>
    <d v="2025-02-14T00:00:00"/>
    <x v="1"/>
    <x v="0"/>
    <s v="Mobile"/>
    <x v="1"/>
    <x v="1"/>
    <x v="1"/>
    <x v="0"/>
    <x v="0"/>
    <x v="0"/>
    <x v="0"/>
    <x v="0"/>
    <x v="0"/>
    <m/>
    <x v="236"/>
  </r>
  <r>
    <s v="USR-100789"/>
    <d v="2025-05-30T00:00:00"/>
    <x v="1"/>
    <x v="1"/>
    <s v="Mobile"/>
    <x v="1"/>
    <x v="1"/>
    <x v="0"/>
    <x v="0"/>
    <x v="0"/>
    <x v="0"/>
    <x v="0"/>
    <x v="0"/>
    <x v="0"/>
    <m/>
    <x v="412"/>
  </r>
  <r>
    <s v="USR-100790"/>
    <d v="2025-01-20T00:00:00"/>
    <x v="1"/>
    <x v="1"/>
    <s v="Mobile"/>
    <x v="1"/>
    <x v="1"/>
    <x v="0"/>
    <x v="0"/>
    <x v="0"/>
    <x v="0"/>
    <x v="0"/>
    <x v="0"/>
    <x v="0"/>
    <m/>
    <x v="413"/>
  </r>
  <r>
    <s v="USR-100791"/>
    <d v="2025-03-17T00:00:00"/>
    <x v="1"/>
    <x v="1"/>
    <s v="Mobile"/>
    <x v="4"/>
    <x v="2"/>
    <x v="0"/>
    <x v="0"/>
    <x v="0"/>
    <x v="0"/>
    <x v="0"/>
    <x v="0"/>
    <x v="0"/>
    <m/>
    <x v="160"/>
  </r>
  <r>
    <s v="USR-100792"/>
    <d v="2025-03-04T00:00:00"/>
    <x v="1"/>
    <x v="1"/>
    <s v="Mobile"/>
    <x v="4"/>
    <x v="1"/>
    <x v="1"/>
    <x v="1"/>
    <x v="0"/>
    <x v="0"/>
    <x v="0"/>
    <x v="1"/>
    <x v="0"/>
    <m/>
    <x v="414"/>
  </r>
  <r>
    <s v="USR-100793"/>
    <d v="2025-02-22T00:00:00"/>
    <x v="1"/>
    <x v="3"/>
    <s v="Mobile"/>
    <x v="1"/>
    <x v="2"/>
    <x v="0"/>
    <x v="0"/>
    <x v="0"/>
    <x v="0"/>
    <x v="0"/>
    <x v="0"/>
    <x v="0"/>
    <m/>
    <x v="415"/>
  </r>
  <r>
    <s v="USR-100794"/>
    <d v="2025-05-02T00:00:00"/>
    <x v="1"/>
    <x v="0"/>
    <s v="Mobile"/>
    <x v="2"/>
    <x v="2"/>
    <x v="0"/>
    <x v="0"/>
    <x v="0"/>
    <x v="0"/>
    <x v="0"/>
    <x v="0"/>
    <x v="0"/>
    <m/>
    <x v="416"/>
  </r>
  <r>
    <s v="USR-100795"/>
    <d v="2025-03-13T00:00:00"/>
    <x v="1"/>
    <x v="1"/>
    <s v="Desktop"/>
    <x v="1"/>
    <x v="2"/>
    <x v="0"/>
    <x v="0"/>
    <x v="0"/>
    <x v="0"/>
    <x v="0"/>
    <x v="3"/>
    <x v="0"/>
    <m/>
    <x v="176"/>
  </r>
  <r>
    <s v="USR-100796"/>
    <d v="2025-05-31T00:00:00"/>
    <x v="1"/>
    <x v="3"/>
    <s v="Mobile"/>
    <x v="1"/>
    <x v="0"/>
    <x v="1"/>
    <x v="0"/>
    <x v="0"/>
    <x v="0"/>
    <x v="0"/>
    <x v="0"/>
    <x v="0"/>
    <m/>
    <x v="301"/>
  </r>
  <r>
    <s v="USR-100797"/>
    <d v="2025-03-07T00:00:00"/>
    <x v="1"/>
    <x v="1"/>
    <s v="Desktop"/>
    <x v="4"/>
    <x v="1"/>
    <x v="1"/>
    <x v="0"/>
    <x v="0"/>
    <x v="0"/>
    <x v="0"/>
    <x v="0"/>
    <x v="0"/>
    <m/>
    <x v="404"/>
  </r>
  <r>
    <s v="USR-100798"/>
    <d v="2025-02-22T00:00:00"/>
    <x v="1"/>
    <x v="1"/>
    <s v="Mobile"/>
    <x v="2"/>
    <x v="0"/>
    <x v="0"/>
    <x v="0"/>
    <x v="0"/>
    <x v="0"/>
    <x v="0"/>
    <x v="1"/>
    <x v="0"/>
    <m/>
    <x v="417"/>
  </r>
  <r>
    <s v="USR-100799"/>
    <d v="2025-01-05T00:00:00"/>
    <x v="1"/>
    <x v="1"/>
    <s v="Desktop"/>
    <x v="2"/>
    <x v="1"/>
    <x v="1"/>
    <x v="1"/>
    <x v="1"/>
    <x v="0"/>
    <x v="0"/>
    <x v="0"/>
    <x v="0"/>
    <m/>
    <x v="418"/>
  </r>
  <r>
    <s v="USR-100800"/>
    <d v="2025-01-21T00:00:00"/>
    <x v="1"/>
    <x v="1"/>
    <s v="Mobile"/>
    <x v="3"/>
    <x v="1"/>
    <x v="1"/>
    <x v="0"/>
    <x v="0"/>
    <x v="0"/>
    <x v="0"/>
    <x v="0"/>
    <x v="0"/>
    <m/>
    <x v="246"/>
  </r>
  <r>
    <s v="USR-100801"/>
    <d v="2025-01-25T00:00:00"/>
    <x v="1"/>
    <x v="0"/>
    <s v="Desktop"/>
    <x v="4"/>
    <x v="1"/>
    <x v="1"/>
    <x v="1"/>
    <x v="1"/>
    <x v="0"/>
    <x v="0"/>
    <x v="0"/>
    <x v="0"/>
    <m/>
    <x v="348"/>
  </r>
  <r>
    <s v="USR-100802"/>
    <d v="2025-04-04T00:00:00"/>
    <x v="1"/>
    <x v="1"/>
    <s v="Mobile"/>
    <x v="2"/>
    <x v="0"/>
    <x v="1"/>
    <x v="1"/>
    <x v="1"/>
    <x v="0"/>
    <x v="0"/>
    <x v="0"/>
    <x v="0"/>
    <m/>
    <x v="262"/>
  </r>
  <r>
    <s v="USR-100803"/>
    <d v="2025-03-25T00:00:00"/>
    <x v="1"/>
    <x v="0"/>
    <s v="Desktop"/>
    <x v="4"/>
    <x v="2"/>
    <x v="0"/>
    <x v="0"/>
    <x v="0"/>
    <x v="0"/>
    <x v="0"/>
    <x v="0"/>
    <x v="0"/>
    <m/>
    <x v="156"/>
  </r>
  <r>
    <s v="USR-100804"/>
    <d v="2025-03-19T00:00:00"/>
    <x v="1"/>
    <x v="1"/>
    <s v="Mobile"/>
    <x v="4"/>
    <x v="1"/>
    <x v="0"/>
    <x v="0"/>
    <x v="0"/>
    <x v="0"/>
    <x v="0"/>
    <x v="2"/>
    <x v="0"/>
    <m/>
    <x v="306"/>
  </r>
  <r>
    <s v="USR-100805"/>
    <d v="2025-04-24T00:00:00"/>
    <x v="1"/>
    <x v="1"/>
    <s v="Desktop"/>
    <x v="1"/>
    <x v="1"/>
    <x v="1"/>
    <x v="1"/>
    <x v="1"/>
    <x v="1"/>
    <x v="29"/>
    <x v="0"/>
    <x v="0"/>
    <n v="12"/>
    <x v="265"/>
  </r>
  <r>
    <s v="USR-100806"/>
    <d v="2025-04-04T00:00:00"/>
    <x v="1"/>
    <x v="3"/>
    <s v="Tablet"/>
    <x v="1"/>
    <x v="1"/>
    <x v="1"/>
    <x v="0"/>
    <x v="0"/>
    <x v="0"/>
    <x v="0"/>
    <x v="2"/>
    <x v="0"/>
    <m/>
    <x v="366"/>
  </r>
  <r>
    <s v="USR-100807"/>
    <d v="2025-03-28T00:00:00"/>
    <x v="1"/>
    <x v="3"/>
    <s v="Desktop"/>
    <x v="2"/>
    <x v="2"/>
    <x v="1"/>
    <x v="0"/>
    <x v="0"/>
    <x v="0"/>
    <x v="0"/>
    <x v="0"/>
    <x v="0"/>
    <m/>
    <x v="227"/>
  </r>
  <r>
    <s v="USR-100808"/>
    <d v="2025-05-15T00:00:00"/>
    <x v="1"/>
    <x v="3"/>
    <s v="Tablet"/>
    <x v="2"/>
    <x v="1"/>
    <x v="1"/>
    <x v="0"/>
    <x v="0"/>
    <x v="0"/>
    <x v="0"/>
    <x v="0"/>
    <x v="0"/>
    <m/>
    <x v="396"/>
  </r>
  <r>
    <s v="USR-100809"/>
    <d v="2025-03-13T00:00:00"/>
    <x v="1"/>
    <x v="1"/>
    <s v="Mobile"/>
    <x v="2"/>
    <x v="1"/>
    <x v="0"/>
    <x v="0"/>
    <x v="0"/>
    <x v="0"/>
    <x v="0"/>
    <x v="0"/>
    <x v="0"/>
    <m/>
    <x v="1"/>
  </r>
  <r>
    <s v="USR-100810"/>
    <d v="2025-03-26T00:00:00"/>
    <x v="1"/>
    <x v="0"/>
    <s v="Mobile"/>
    <x v="4"/>
    <x v="2"/>
    <x v="1"/>
    <x v="0"/>
    <x v="0"/>
    <x v="0"/>
    <x v="0"/>
    <x v="0"/>
    <x v="0"/>
    <m/>
    <x v="246"/>
  </r>
  <r>
    <s v="USR-100811"/>
    <d v="2025-01-09T00:00:00"/>
    <x v="1"/>
    <x v="0"/>
    <s v="Mobile"/>
    <x v="4"/>
    <x v="0"/>
    <x v="0"/>
    <x v="0"/>
    <x v="0"/>
    <x v="0"/>
    <x v="0"/>
    <x v="1"/>
    <x v="0"/>
    <m/>
    <x v="419"/>
  </r>
  <r>
    <s v="USR-100812"/>
    <d v="2025-05-06T00:00:00"/>
    <x v="1"/>
    <x v="3"/>
    <s v="Desktop"/>
    <x v="2"/>
    <x v="1"/>
    <x v="1"/>
    <x v="0"/>
    <x v="0"/>
    <x v="0"/>
    <x v="0"/>
    <x v="0"/>
    <x v="0"/>
    <m/>
    <x v="167"/>
  </r>
  <r>
    <s v="USR-100813"/>
    <d v="2025-02-17T00:00:00"/>
    <x v="1"/>
    <x v="3"/>
    <s v="Mobile"/>
    <x v="1"/>
    <x v="1"/>
    <x v="1"/>
    <x v="0"/>
    <x v="0"/>
    <x v="0"/>
    <x v="0"/>
    <x v="0"/>
    <x v="0"/>
    <m/>
    <x v="39"/>
  </r>
  <r>
    <s v="USR-100814"/>
    <d v="2025-04-05T00:00:00"/>
    <x v="1"/>
    <x v="2"/>
    <s v="Mobile"/>
    <x v="2"/>
    <x v="1"/>
    <x v="1"/>
    <x v="1"/>
    <x v="1"/>
    <x v="1"/>
    <x v="30"/>
    <x v="3"/>
    <x v="0"/>
    <n v="8"/>
    <x v="250"/>
  </r>
  <r>
    <s v="USR-100815"/>
    <d v="2025-04-13T00:00:00"/>
    <x v="1"/>
    <x v="1"/>
    <s v="Tablet"/>
    <x v="1"/>
    <x v="1"/>
    <x v="1"/>
    <x v="0"/>
    <x v="0"/>
    <x v="0"/>
    <x v="0"/>
    <x v="0"/>
    <x v="0"/>
    <m/>
    <x v="324"/>
  </r>
  <r>
    <s v="USR-100816"/>
    <d v="2025-05-20T00:00:00"/>
    <x v="1"/>
    <x v="2"/>
    <s v="Desktop"/>
    <x v="3"/>
    <x v="1"/>
    <x v="1"/>
    <x v="0"/>
    <x v="0"/>
    <x v="0"/>
    <x v="0"/>
    <x v="0"/>
    <x v="0"/>
    <m/>
    <x v="261"/>
  </r>
  <r>
    <s v="USR-100817"/>
    <d v="2025-03-31T00:00:00"/>
    <x v="1"/>
    <x v="2"/>
    <s v="Mobile"/>
    <x v="0"/>
    <x v="1"/>
    <x v="1"/>
    <x v="1"/>
    <x v="0"/>
    <x v="0"/>
    <x v="0"/>
    <x v="0"/>
    <x v="0"/>
    <m/>
    <x v="420"/>
  </r>
  <r>
    <s v="USR-100818"/>
    <d v="2025-04-03T00:00:00"/>
    <x v="1"/>
    <x v="1"/>
    <s v="Tablet"/>
    <x v="2"/>
    <x v="0"/>
    <x v="1"/>
    <x v="0"/>
    <x v="0"/>
    <x v="0"/>
    <x v="0"/>
    <x v="0"/>
    <x v="0"/>
    <m/>
    <x v="404"/>
  </r>
  <r>
    <s v="USR-100819"/>
    <d v="2025-02-04T00:00:00"/>
    <x v="1"/>
    <x v="3"/>
    <s v="Mobile"/>
    <x v="1"/>
    <x v="1"/>
    <x v="1"/>
    <x v="1"/>
    <x v="1"/>
    <x v="1"/>
    <x v="31"/>
    <x v="2"/>
    <x v="0"/>
    <n v="0"/>
    <x v="278"/>
  </r>
  <r>
    <s v="USR-100820"/>
    <d v="2025-05-19T00:00:00"/>
    <x v="1"/>
    <x v="2"/>
    <s v="Mobile"/>
    <x v="1"/>
    <x v="1"/>
    <x v="1"/>
    <x v="0"/>
    <x v="0"/>
    <x v="0"/>
    <x v="0"/>
    <x v="0"/>
    <x v="0"/>
    <m/>
    <x v="355"/>
  </r>
  <r>
    <s v="USR-100821"/>
    <d v="2025-03-08T00:00:00"/>
    <x v="1"/>
    <x v="2"/>
    <s v="Desktop"/>
    <x v="2"/>
    <x v="0"/>
    <x v="0"/>
    <x v="0"/>
    <x v="0"/>
    <x v="0"/>
    <x v="0"/>
    <x v="0"/>
    <x v="0"/>
    <m/>
    <x v="421"/>
  </r>
  <r>
    <s v="USR-100822"/>
    <d v="2025-05-10T00:00:00"/>
    <x v="1"/>
    <x v="0"/>
    <s v="Mobile"/>
    <x v="4"/>
    <x v="0"/>
    <x v="1"/>
    <x v="0"/>
    <x v="0"/>
    <x v="0"/>
    <x v="0"/>
    <x v="1"/>
    <x v="0"/>
    <m/>
    <x v="328"/>
  </r>
  <r>
    <s v="USR-100823"/>
    <d v="2025-01-02T00:00:00"/>
    <x v="1"/>
    <x v="2"/>
    <s v="Desktop"/>
    <x v="4"/>
    <x v="0"/>
    <x v="1"/>
    <x v="0"/>
    <x v="0"/>
    <x v="0"/>
    <x v="0"/>
    <x v="2"/>
    <x v="0"/>
    <m/>
    <x v="42"/>
  </r>
  <r>
    <s v="USR-100824"/>
    <d v="2025-01-17T00:00:00"/>
    <x v="1"/>
    <x v="1"/>
    <s v="Mobile"/>
    <x v="1"/>
    <x v="0"/>
    <x v="0"/>
    <x v="0"/>
    <x v="0"/>
    <x v="0"/>
    <x v="0"/>
    <x v="0"/>
    <x v="0"/>
    <m/>
    <x v="422"/>
  </r>
  <r>
    <s v="USR-100825"/>
    <d v="2025-05-21T00:00:00"/>
    <x v="1"/>
    <x v="1"/>
    <s v="Mobile"/>
    <x v="3"/>
    <x v="0"/>
    <x v="1"/>
    <x v="1"/>
    <x v="1"/>
    <x v="1"/>
    <x v="32"/>
    <x v="1"/>
    <x v="0"/>
    <n v="6"/>
    <x v="423"/>
  </r>
  <r>
    <s v="USR-100826"/>
    <d v="2025-05-25T00:00:00"/>
    <x v="1"/>
    <x v="2"/>
    <s v="Desktop"/>
    <x v="3"/>
    <x v="1"/>
    <x v="1"/>
    <x v="0"/>
    <x v="0"/>
    <x v="0"/>
    <x v="0"/>
    <x v="3"/>
    <x v="0"/>
    <m/>
    <x v="165"/>
  </r>
  <r>
    <s v="USR-100827"/>
    <d v="2025-01-05T00:00:00"/>
    <x v="1"/>
    <x v="1"/>
    <s v="Mobile"/>
    <x v="0"/>
    <x v="0"/>
    <x v="1"/>
    <x v="0"/>
    <x v="0"/>
    <x v="0"/>
    <x v="0"/>
    <x v="0"/>
    <x v="0"/>
    <m/>
    <x v="94"/>
  </r>
  <r>
    <s v="USR-100828"/>
    <d v="2025-02-24T00:00:00"/>
    <x v="1"/>
    <x v="3"/>
    <s v="Desktop"/>
    <x v="1"/>
    <x v="1"/>
    <x v="1"/>
    <x v="1"/>
    <x v="0"/>
    <x v="0"/>
    <x v="0"/>
    <x v="0"/>
    <x v="0"/>
    <m/>
    <x v="132"/>
  </r>
  <r>
    <s v="USR-100829"/>
    <d v="2025-01-21T00:00:00"/>
    <x v="1"/>
    <x v="2"/>
    <s v="Mobile"/>
    <x v="2"/>
    <x v="0"/>
    <x v="1"/>
    <x v="0"/>
    <x v="0"/>
    <x v="0"/>
    <x v="0"/>
    <x v="0"/>
    <x v="0"/>
    <m/>
    <x v="303"/>
  </r>
  <r>
    <s v="USR-100830"/>
    <d v="2025-04-24T00:00:00"/>
    <x v="1"/>
    <x v="0"/>
    <s v="Mobile"/>
    <x v="1"/>
    <x v="0"/>
    <x v="1"/>
    <x v="1"/>
    <x v="1"/>
    <x v="1"/>
    <x v="33"/>
    <x v="0"/>
    <x v="0"/>
    <n v="5"/>
    <x v="119"/>
  </r>
  <r>
    <s v="USR-100831"/>
    <d v="2025-01-07T00:00:00"/>
    <x v="1"/>
    <x v="1"/>
    <s v="Desktop"/>
    <x v="1"/>
    <x v="1"/>
    <x v="1"/>
    <x v="0"/>
    <x v="0"/>
    <x v="0"/>
    <x v="0"/>
    <x v="0"/>
    <x v="0"/>
    <m/>
    <x v="24"/>
  </r>
  <r>
    <s v="USR-100832"/>
    <d v="2025-05-31T00:00:00"/>
    <x v="1"/>
    <x v="3"/>
    <s v="Tablet"/>
    <x v="1"/>
    <x v="0"/>
    <x v="1"/>
    <x v="1"/>
    <x v="1"/>
    <x v="0"/>
    <x v="0"/>
    <x v="0"/>
    <x v="0"/>
    <m/>
    <x v="26"/>
  </r>
  <r>
    <s v="USR-100833"/>
    <d v="2025-04-02T00:00:00"/>
    <x v="1"/>
    <x v="0"/>
    <s v="Desktop"/>
    <x v="1"/>
    <x v="0"/>
    <x v="1"/>
    <x v="1"/>
    <x v="1"/>
    <x v="1"/>
    <x v="34"/>
    <x v="0"/>
    <x v="0"/>
    <n v="4"/>
    <x v="47"/>
  </r>
  <r>
    <s v="USR-100834"/>
    <d v="2025-04-21T00:00:00"/>
    <x v="1"/>
    <x v="2"/>
    <s v="Mobile"/>
    <x v="1"/>
    <x v="1"/>
    <x v="1"/>
    <x v="1"/>
    <x v="1"/>
    <x v="0"/>
    <x v="0"/>
    <x v="1"/>
    <x v="0"/>
    <m/>
    <x v="91"/>
  </r>
  <r>
    <s v="USR-100835"/>
    <d v="2025-05-05T00:00:00"/>
    <x v="1"/>
    <x v="2"/>
    <s v="Mobile"/>
    <x v="2"/>
    <x v="0"/>
    <x v="1"/>
    <x v="0"/>
    <x v="0"/>
    <x v="0"/>
    <x v="0"/>
    <x v="0"/>
    <x v="0"/>
    <m/>
    <x v="216"/>
  </r>
  <r>
    <s v="USR-100836"/>
    <d v="2025-01-06T00:00:00"/>
    <x v="1"/>
    <x v="0"/>
    <s v="Desktop"/>
    <x v="4"/>
    <x v="1"/>
    <x v="1"/>
    <x v="1"/>
    <x v="1"/>
    <x v="1"/>
    <x v="35"/>
    <x v="0"/>
    <x v="0"/>
    <n v="7"/>
    <x v="308"/>
  </r>
  <r>
    <s v="USR-100837"/>
    <d v="2025-04-24T00:00:00"/>
    <x v="1"/>
    <x v="3"/>
    <s v="Mobile"/>
    <x v="3"/>
    <x v="1"/>
    <x v="1"/>
    <x v="1"/>
    <x v="1"/>
    <x v="1"/>
    <x v="36"/>
    <x v="0"/>
    <x v="0"/>
    <n v="9"/>
    <x v="398"/>
  </r>
  <r>
    <s v="USR-100838"/>
    <d v="2025-04-21T00:00:00"/>
    <x v="1"/>
    <x v="3"/>
    <s v="Mobile"/>
    <x v="1"/>
    <x v="0"/>
    <x v="1"/>
    <x v="0"/>
    <x v="0"/>
    <x v="0"/>
    <x v="0"/>
    <x v="1"/>
    <x v="0"/>
    <m/>
    <x v="424"/>
  </r>
  <r>
    <s v="USR-100839"/>
    <d v="2025-02-09T00:00:00"/>
    <x v="1"/>
    <x v="1"/>
    <s v="Mobile"/>
    <x v="1"/>
    <x v="0"/>
    <x v="1"/>
    <x v="1"/>
    <x v="1"/>
    <x v="0"/>
    <x v="0"/>
    <x v="0"/>
    <x v="0"/>
    <m/>
    <x v="318"/>
  </r>
  <r>
    <s v="USR-100840"/>
    <d v="2025-01-09T00:00:00"/>
    <x v="1"/>
    <x v="2"/>
    <s v="Mobile"/>
    <x v="1"/>
    <x v="2"/>
    <x v="1"/>
    <x v="0"/>
    <x v="0"/>
    <x v="0"/>
    <x v="0"/>
    <x v="0"/>
    <x v="0"/>
    <m/>
    <x v="185"/>
  </r>
  <r>
    <s v="USR-100841"/>
    <d v="2025-02-16T00:00:00"/>
    <x v="1"/>
    <x v="0"/>
    <s v="Mobile"/>
    <x v="2"/>
    <x v="0"/>
    <x v="0"/>
    <x v="0"/>
    <x v="0"/>
    <x v="0"/>
    <x v="0"/>
    <x v="0"/>
    <x v="0"/>
    <m/>
    <x v="92"/>
  </r>
  <r>
    <s v="USR-100842"/>
    <d v="2025-02-21T00:00:00"/>
    <x v="1"/>
    <x v="3"/>
    <s v="Mobile"/>
    <x v="1"/>
    <x v="1"/>
    <x v="1"/>
    <x v="1"/>
    <x v="1"/>
    <x v="0"/>
    <x v="0"/>
    <x v="0"/>
    <x v="0"/>
    <m/>
    <x v="340"/>
  </r>
  <r>
    <s v="USR-100843"/>
    <d v="2025-02-08T00:00:00"/>
    <x v="1"/>
    <x v="3"/>
    <s v="Mobile"/>
    <x v="1"/>
    <x v="2"/>
    <x v="1"/>
    <x v="0"/>
    <x v="0"/>
    <x v="0"/>
    <x v="0"/>
    <x v="0"/>
    <x v="0"/>
    <m/>
    <x v="103"/>
  </r>
  <r>
    <s v="USR-100844"/>
    <d v="2025-01-22T00:00:00"/>
    <x v="1"/>
    <x v="3"/>
    <s v="Mobile"/>
    <x v="2"/>
    <x v="2"/>
    <x v="0"/>
    <x v="0"/>
    <x v="0"/>
    <x v="0"/>
    <x v="0"/>
    <x v="0"/>
    <x v="0"/>
    <m/>
    <x v="425"/>
  </r>
  <r>
    <s v="USR-100845"/>
    <d v="2025-04-01T00:00:00"/>
    <x v="1"/>
    <x v="1"/>
    <s v="Mobile"/>
    <x v="1"/>
    <x v="0"/>
    <x v="1"/>
    <x v="0"/>
    <x v="0"/>
    <x v="0"/>
    <x v="0"/>
    <x v="0"/>
    <x v="0"/>
    <m/>
    <x v="100"/>
  </r>
  <r>
    <s v="USR-100846"/>
    <d v="2025-01-21T00:00:00"/>
    <x v="1"/>
    <x v="0"/>
    <s v="Mobile"/>
    <x v="2"/>
    <x v="0"/>
    <x v="1"/>
    <x v="0"/>
    <x v="0"/>
    <x v="0"/>
    <x v="0"/>
    <x v="0"/>
    <x v="0"/>
    <m/>
    <x v="348"/>
  </r>
  <r>
    <s v="USR-100847"/>
    <d v="2025-01-02T00:00:00"/>
    <x v="1"/>
    <x v="2"/>
    <s v="Desktop"/>
    <x v="1"/>
    <x v="1"/>
    <x v="1"/>
    <x v="1"/>
    <x v="0"/>
    <x v="0"/>
    <x v="0"/>
    <x v="0"/>
    <x v="0"/>
    <m/>
    <x v="426"/>
  </r>
  <r>
    <s v="USR-100848"/>
    <d v="2025-05-12T00:00:00"/>
    <x v="1"/>
    <x v="3"/>
    <s v="Desktop"/>
    <x v="2"/>
    <x v="1"/>
    <x v="0"/>
    <x v="0"/>
    <x v="0"/>
    <x v="0"/>
    <x v="0"/>
    <x v="0"/>
    <x v="0"/>
    <m/>
    <x v="427"/>
  </r>
  <r>
    <s v="USR-100849"/>
    <d v="2025-03-05T00:00:00"/>
    <x v="1"/>
    <x v="3"/>
    <s v="Mobile"/>
    <x v="4"/>
    <x v="0"/>
    <x v="0"/>
    <x v="0"/>
    <x v="0"/>
    <x v="0"/>
    <x v="0"/>
    <x v="0"/>
    <x v="0"/>
    <m/>
    <x v="67"/>
  </r>
  <r>
    <s v="USR-100850"/>
    <d v="2025-01-24T00:00:00"/>
    <x v="1"/>
    <x v="2"/>
    <s v="Mobile"/>
    <x v="1"/>
    <x v="1"/>
    <x v="0"/>
    <x v="0"/>
    <x v="0"/>
    <x v="0"/>
    <x v="0"/>
    <x v="0"/>
    <x v="0"/>
    <m/>
    <x v="250"/>
  </r>
  <r>
    <s v="USR-100851"/>
    <d v="2025-01-31T00:00:00"/>
    <x v="1"/>
    <x v="2"/>
    <s v="Desktop"/>
    <x v="0"/>
    <x v="1"/>
    <x v="1"/>
    <x v="1"/>
    <x v="1"/>
    <x v="0"/>
    <x v="0"/>
    <x v="0"/>
    <x v="0"/>
    <m/>
    <x v="428"/>
  </r>
  <r>
    <s v="USR-100852"/>
    <d v="2025-01-24T00:00:00"/>
    <x v="1"/>
    <x v="0"/>
    <s v="Tablet"/>
    <x v="1"/>
    <x v="0"/>
    <x v="1"/>
    <x v="0"/>
    <x v="0"/>
    <x v="0"/>
    <x v="0"/>
    <x v="0"/>
    <x v="0"/>
    <m/>
    <x v="429"/>
  </r>
  <r>
    <s v="USR-100853"/>
    <d v="2025-02-14T00:00:00"/>
    <x v="1"/>
    <x v="0"/>
    <s v="Desktop"/>
    <x v="3"/>
    <x v="0"/>
    <x v="1"/>
    <x v="1"/>
    <x v="1"/>
    <x v="0"/>
    <x v="0"/>
    <x v="0"/>
    <x v="0"/>
    <m/>
    <x v="161"/>
  </r>
  <r>
    <s v="USR-100854"/>
    <d v="2025-05-27T00:00:00"/>
    <x v="1"/>
    <x v="0"/>
    <s v="Mobile"/>
    <x v="1"/>
    <x v="1"/>
    <x v="1"/>
    <x v="1"/>
    <x v="1"/>
    <x v="0"/>
    <x v="0"/>
    <x v="0"/>
    <x v="0"/>
    <m/>
    <x v="136"/>
  </r>
  <r>
    <s v="USR-100855"/>
    <d v="2025-02-28T00:00:00"/>
    <x v="1"/>
    <x v="0"/>
    <s v="Mobile"/>
    <x v="2"/>
    <x v="1"/>
    <x v="1"/>
    <x v="1"/>
    <x v="1"/>
    <x v="1"/>
    <x v="37"/>
    <x v="0"/>
    <x v="0"/>
    <n v="5"/>
    <x v="430"/>
  </r>
  <r>
    <s v="USR-100856"/>
    <d v="2025-05-27T00:00:00"/>
    <x v="1"/>
    <x v="0"/>
    <s v="Mobile"/>
    <x v="1"/>
    <x v="0"/>
    <x v="1"/>
    <x v="1"/>
    <x v="1"/>
    <x v="0"/>
    <x v="0"/>
    <x v="0"/>
    <x v="0"/>
    <m/>
    <x v="431"/>
  </r>
  <r>
    <s v="USR-100857"/>
    <d v="2025-05-17T00:00:00"/>
    <x v="1"/>
    <x v="3"/>
    <s v="Mobile"/>
    <x v="2"/>
    <x v="2"/>
    <x v="0"/>
    <x v="0"/>
    <x v="0"/>
    <x v="0"/>
    <x v="0"/>
    <x v="1"/>
    <x v="0"/>
    <m/>
    <x v="110"/>
  </r>
  <r>
    <s v="USR-100858"/>
    <d v="2025-01-10T00:00:00"/>
    <x v="1"/>
    <x v="1"/>
    <s v="Desktop"/>
    <x v="4"/>
    <x v="1"/>
    <x v="0"/>
    <x v="0"/>
    <x v="0"/>
    <x v="0"/>
    <x v="0"/>
    <x v="0"/>
    <x v="0"/>
    <m/>
    <x v="184"/>
  </r>
  <r>
    <s v="USR-100859"/>
    <d v="2025-04-22T00:00:00"/>
    <x v="1"/>
    <x v="0"/>
    <s v="Mobile"/>
    <x v="0"/>
    <x v="0"/>
    <x v="1"/>
    <x v="1"/>
    <x v="1"/>
    <x v="1"/>
    <x v="38"/>
    <x v="0"/>
    <x v="0"/>
    <n v="6"/>
    <x v="61"/>
  </r>
  <r>
    <s v="USR-100860"/>
    <d v="2025-03-02T00:00:00"/>
    <x v="1"/>
    <x v="3"/>
    <s v="Desktop"/>
    <x v="1"/>
    <x v="0"/>
    <x v="1"/>
    <x v="0"/>
    <x v="0"/>
    <x v="0"/>
    <x v="0"/>
    <x v="2"/>
    <x v="0"/>
    <m/>
    <x v="317"/>
  </r>
  <r>
    <s v="USR-100861"/>
    <d v="2025-03-23T00:00:00"/>
    <x v="1"/>
    <x v="2"/>
    <s v="Mobile"/>
    <x v="2"/>
    <x v="1"/>
    <x v="1"/>
    <x v="1"/>
    <x v="1"/>
    <x v="0"/>
    <x v="0"/>
    <x v="0"/>
    <x v="0"/>
    <m/>
    <x v="93"/>
  </r>
  <r>
    <s v="USR-100862"/>
    <d v="2025-02-12T00:00:00"/>
    <x v="1"/>
    <x v="2"/>
    <s v="Mobile"/>
    <x v="0"/>
    <x v="1"/>
    <x v="1"/>
    <x v="1"/>
    <x v="1"/>
    <x v="0"/>
    <x v="0"/>
    <x v="0"/>
    <x v="0"/>
    <m/>
    <x v="16"/>
  </r>
  <r>
    <s v="USR-100863"/>
    <d v="2025-05-03T00:00:00"/>
    <x v="1"/>
    <x v="3"/>
    <s v="Mobile"/>
    <x v="3"/>
    <x v="0"/>
    <x v="1"/>
    <x v="0"/>
    <x v="0"/>
    <x v="0"/>
    <x v="0"/>
    <x v="0"/>
    <x v="0"/>
    <m/>
    <x v="331"/>
  </r>
  <r>
    <s v="USR-100864"/>
    <d v="2025-03-28T00:00:00"/>
    <x v="1"/>
    <x v="0"/>
    <s v="Desktop"/>
    <x v="4"/>
    <x v="1"/>
    <x v="1"/>
    <x v="0"/>
    <x v="0"/>
    <x v="0"/>
    <x v="0"/>
    <x v="3"/>
    <x v="0"/>
    <m/>
    <x v="18"/>
  </r>
  <r>
    <s v="USR-100865"/>
    <d v="2025-03-12T00:00:00"/>
    <x v="1"/>
    <x v="0"/>
    <s v="Mobile"/>
    <x v="4"/>
    <x v="0"/>
    <x v="0"/>
    <x v="0"/>
    <x v="0"/>
    <x v="0"/>
    <x v="0"/>
    <x v="1"/>
    <x v="0"/>
    <m/>
    <x v="24"/>
  </r>
  <r>
    <s v="USR-100866"/>
    <d v="2025-04-27T00:00:00"/>
    <x v="1"/>
    <x v="2"/>
    <s v="Mobile"/>
    <x v="2"/>
    <x v="1"/>
    <x v="1"/>
    <x v="0"/>
    <x v="0"/>
    <x v="0"/>
    <x v="0"/>
    <x v="1"/>
    <x v="0"/>
    <m/>
    <x v="432"/>
  </r>
  <r>
    <s v="USR-100867"/>
    <d v="2025-04-02T00:00:00"/>
    <x v="1"/>
    <x v="3"/>
    <s v="Mobile"/>
    <x v="3"/>
    <x v="0"/>
    <x v="1"/>
    <x v="0"/>
    <x v="0"/>
    <x v="0"/>
    <x v="0"/>
    <x v="0"/>
    <x v="0"/>
    <m/>
    <x v="49"/>
  </r>
  <r>
    <s v="USR-100868"/>
    <d v="2025-04-21T00:00:00"/>
    <x v="1"/>
    <x v="0"/>
    <s v="Mobile"/>
    <x v="4"/>
    <x v="1"/>
    <x v="0"/>
    <x v="0"/>
    <x v="0"/>
    <x v="0"/>
    <x v="0"/>
    <x v="0"/>
    <x v="0"/>
    <m/>
    <x v="433"/>
  </r>
  <r>
    <s v="USR-100869"/>
    <d v="2025-01-26T00:00:00"/>
    <x v="1"/>
    <x v="1"/>
    <s v="Desktop"/>
    <x v="1"/>
    <x v="0"/>
    <x v="0"/>
    <x v="0"/>
    <x v="0"/>
    <x v="0"/>
    <x v="0"/>
    <x v="0"/>
    <x v="0"/>
    <m/>
    <x v="186"/>
  </r>
  <r>
    <s v="USR-100870"/>
    <d v="2025-01-06T00:00:00"/>
    <x v="1"/>
    <x v="1"/>
    <s v="Mobile"/>
    <x v="1"/>
    <x v="1"/>
    <x v="0"/>
    <x v="0"/>
    <x v="0"/>
    <x v="0"/>
    <x v="0"/>
    <x v="1"/>
    <x v="0"/>
    <m/>
    <x v="245"/>
  </r>
  <r>
    <s v="USR-100871"/>
    <d v="2025-02-07T00:00:00"/>
    <x v="1"/>
    <x v="2"/>
    <s v="Mobile"/>
    <x v="1"/>
    <x v="1"/>
    <x v="1"/>
    <x v="0"/>
    <x v="0"/>
    <x v="0"/>
    <x v="0"/>
    <x v="0"/>
    <x v="0"/>
    <m/>
    <x v="382"/>
  </r>
  <r>
    <s v="USR-100872"/>
    <d v="2025-05-07T00:00:00"/>
    <x v="1"/>
    <x v="1"/>
    <s v="Mobile"/>
    <x v="1"/>
    <x v="2"/>
    <x v="1"/>
    <x v="0"/>
    <x v="0"/>
    <x v="0"/>
    <x v="0"/>
    <x v="1"/>
    <x v="0"/>
    <m/>
    <x v="54"/>
  </r>
  <r>
    <s v="USR-100873"/>
    <d v="2025-04-22T00:00:00"/>
    <x v="1"/>
    <x v="1"/>
    <s v="Unknown"/>
    <x v="4"/>
    <x v="1"/>
    <x v="1"/>
    <x v="0"/>
    <x v="0"/>
    <x v="0"/>
    <x v="0"/>
    <x v="0"/>
    <x v="0"/>
    <m/>
    <x v="296"/>
  </r>
  <r>
    <s v="USR-100874"/>
    <d v="2025-05-04T00:00:00"/>
    <x v="1"/>
    <x v="1"/>
    <s v="Desktop"/>
    <x v="4"/>
    <x v="1"/>
    <x v="1"/>
    <x v="0"/>
    <x v="0"/>
    <x v="0"/>
    <x v="0"/>
    <x v="0"/>
    <x v="0"/>
    <m/>
    <x v="154"/>
  </r>
  <r>
    <s v="USR-100875"/>
    <d v="2025-05-16T00:00:00"/>
    <x v="1"/>
    <x v="3"/>
    <s v="Mobile"/>
    <x v="4"/>
    <x v="0"/>
    <x v="1"/>
    <x v="1"/>
    <x v="1"/>
    <x v="0"/>
    <x v="0"/>
    <x v="1"/>
    <x v="0"/>
    <m/>
    <x v="434"/>
  </r>
  <r>
    <s v="USR-100876"/>
    <d v="2025-02-11T00:00:00"/>
    <x v="1"/>
    <x v="1"/>
    <s v="Mobile"/>
    <x v="2"/>
    <x v="1"/>
    <x v="0"/>
    <x v="0"/>
    <x v="0"/>
    <x v="0"/>
    <x v="0"/>
    <x v="0"/>
    <x v="0"/>
    <m/>
    <x v="427"/>
  </r>
  <r>
    <s v="USR-100877"/>
    <d v="2025-05-09T00:00:00"/>
    <x v="1"/>
    <x v="2"/>
    <s v="Desktop"/>
    <x v="1"/>
    <x v="2"/>
    <x v="1"/>
    <x v="0"/>
    <x v="0"/>
    <x v="0"/>
    <x v="0"/>
    <x v="0"/>
    <x v="0"/>
    <m/>
    <x v="405"/>
  </r>
  <r>
    <s v="USR-100878"/>
    <d v="2025-02-09T00:00:00"/>
    <x v="1"/>
    <x v="3"/>
    <s v="Desktop"/>
    <x v="2"/>
    <x v="1"/>
    <x v="1"/>
    <x v="1"/>
    <x v="0"/>
    <x v="0"/>
    <x v="0"/>
    <x v="0"/>
    <x v="0"/>
    <m/>
    <x v="225"/>
  </r>
  <r>
    <s v="USR-100879"/>
    <d v="2025-05-22T00:00:00"/>
    <x v="1"/>
    <x v="1"/>
    <s v="Mobile"/>
    <x v="4"/>
    <x v="0"/>
    <x v="0"/>
    <x v="0"/>
    <x v="0"/>
    <x v="0"/>
    <x v="0"/>
    <x v="0"/>
    <x v="0"/>
    <m/>
    <x v="435"/>
  </r>
  <r>
    <s v="USR-100880"/>
    <d v="2025-05-24T00:00:00"/>
    <x v="1"/>
    <x v="2"/>
    <s v="Mobile"/>
    <x v="4"/>
    <x v="0"/>
    <x v="0"/>
    <x v="0"/>
    <x v="0"/>
    <x v="0"/>
    <x v="0"/>
    <x v="0"/>
    <x v="0"/>
    <m/>
    <x v="24"/>
  </r>
  <r>
    <s v="USR-100881"/>
    <d v="2025-04-27T00:00:00"/>
    <x v="1"/>
    <x v="3"/>
    <s v="Desktop"/>
    <x v="4"/>
    <x v="0"/>
    <x v="1"/>
    <x v="1"/>
    <x v="1"/>
    <x v="0"/>
    <x v="0"/>
    <x v="0"/>
    <x v="0"/>
    <m/>
    <x v="126"/>
  </r>
  <r>
    <s v="USR-100882"/>
    <d v="2025-03-19T00:00:00"/>
    <x v="1"/>
    <x v="2"/>
    <s v="Mobile"/>
    <x v="2"/>
    <x v="1"/>
    <x v="1"/>
    <x v="0"/>
    <x v="0"/>
    <x v="0"/>
    <x v="0"/>
    <x v="0"/>
    <x v="0"/>
    <m/>
    <x v="199"/>
  </r>
  <r>
    <s v="USR-100883"/>
    <d v="2025-05-20T00:00:00"/>
    <x v="1"/>
    <x v="3"/>
    <s v="Mobile"/>
    <x v="1"/>
    <x v="2"/>
    <x v="0"/>
    <x v="0"/>
    <x v="0"/>
    <x v="0"/>
    <x v="0"/>
    <x v="0"/>
    <x v="0"/>
    <m/>
    <x v="308"/>
  </r>
  <r>
    <s v="USR-100884"/>
    <d v="2025-05-10T00:00:00"/>
    <x v="1"/>
    <x v="0"/>
    <s v="Mobile"/>
    <x v="0"/>
    <x v="2"/>
    <x v="1"/>
    <x v="0"/>
    <x v="0"/>
    <x v="0"/>
    <x v="0"/>
    <x v="4"/>
    <x v="0"/>
    <m/>
    <x v="55"/>
  </r>
  <r>
    <s v="USR-100885"/>
    <d v="2025-03-29T00:00:00"/>
    <x v="1"/>
    <x v="2"/>
    <s v="Mobile"/>
    <x v="4"/>
    <x v="1"/>
    <x v="1"/>
    <x v="1"/>
    <x v="1"/>
    <x v="0"/>
    <x v="0"/>
    <x v="0"/>
    <x v="0"/>
    <m/>
    <x v="218"/>
  </r>
  <r>
    <s v="USR-100886"/>
    <d v="2025-04-03T00:00:00"/>
    <x v="1"/>
    <x v="1"/>
    <s v="Desktop"/>
    <x v="3"/>
    <x v="0"/>
    <x v="0"/>
    <x v="0"/>
    <x v="0"/>
    <x v="0"/>
    <x v="0"/>
    <x v="0"/>
    <x v="0"/>
    <m/>
    <x v="295"/>
  </r>
  <r>
    <s v="USR-100887"/>
    <d v="2025-05-30T00:00:00"/>
    <x v="1"/>
    <x v="3"/>
    <s v="Mobile"/>
    <x v="0"/>
    <x v="1"/>
    <x v="1"/>
    <x v="0"/>
    <x v="0"/>
    <x v="0"/>
    <x v="0"/>
    <x v="0"/>
    <x v="0"/>
    <m/>
    <x v="351"/>
  </r>
  <r>
    <s v="USR-100888"/>
    <d v="2025-04-06T00:00:00"/>
    <x v="1"/>
    <x v="2"/>
    <s v="Desktop"/>
    <x v="0"/>
    <x v="1"/>
    <x v="1"/>
    <x v="0"/>
    <x v="0"/>
    <x v="0"/>
    <x v="0"/>
    <x v="0"/>
    <x v="0"/>
    <m/>
    <x v="419"/>
  </r>
  <r>
    <s v="USR-100889"/>
    <d v="2025-03-14T00:00:00"/>
    <x v="1"/>
    <x v="0"/>
    <s v="Mobile"/>
    <x v="3"/>
    <x v="1"/>
    <x v="1"/>
    <x v="1"/>
    <x v="1"/>
    <x v="1"/>
    <x v="39"/>
    <x v="0"/>
    <x v="0"/>
    <n v="1"/>
    <x v="296"/>
  </r>
  <r>
    <s v="USR-100890"/>
    <d v="2025-02-24T00:00:00"/>
    <x v="1"/>
    <x v="3"/>
    <s v="Desktop"/>
    <x v="2"/>
    <x v="0"/>
    <x v="1"/>
    <x v="0"/>
    <x v="0"/>
    <x v="0"/>
    <x v="0"/>
    <x v="0"/>
    <x v="0"/>
    <m/>
    <x v="149"/>
  </r>
  <r>
    <s v="USR-100891"/>
    <d v="2025-03-04T00:00:00"/>
    <x v="1"/>
    <x v="1"/>
    <s v="Mobile"/>
    <x v="0"/>
    <x v="0"/>
    <x v="1"/>
    <x v="0"/>
    <x v="0"/>
    <x v="0"/>
    <x v="0"/>
    <x v="0"/>
    <x v="0"/>
    <m/>
    <x v="13"/>
  </r>
  <r>
    <s v="USR-100892"/>
    <d v="2025-04-02T00:00:00"/>
    <x v="1"/>
    <x v="0"/>
    <s v="Mobile"/>
    <x v="1"/>
    <x v="1"/>
    <x v="1"/>
    <x v="1"/>
    <x v="1"/>
    <x v="0"/>
    <x v="0"/>
    <x v="0"/>
    <x v="0"/>
    <m/>
    <x v="301"/>
  </r>
  <r>
    <s v="USR-100893"/>
    <d v="2025-05-11T00:00:00"/>
    <x v="1"/>
    <x v="0"/>
    <s v="Mobile"/>
    <x v="0"/>
    <x v="2"/>
    <x v="0"/>
    <x v="0"/>
    <x v="0"/>
    <x v="0"/>
    <x v="0"/>
    <x v="0"/>
    <x v="0"/>
    <m/>
    <x v="436"/>
  </r>
  <r>
    <s v="USR-100894"/>
    <d v="2025-05-10T00:00:00"/>
    <x v="1"/>
    <x v="1"/>
    <s v="Tablet"/>
    <x v="2"/>
    <x v="0"/>
    <x v="1"/>
    <x v="1"/>
    <x v="1"/>
    <x v="0"/>
    <x v="0"/>
    <x v="0"/>
    <x v="0"/>
    <m/>
    <x v="26"/>
  </r>
  <r>
    <s v="USR-100895"/>
    <d v="2025-05-06T00:00:00"/>
    <x v="1"/>
    <x v="1"/>
    <s v="Mobile"/>
    <x v="3"/>
    <x v="1"/>
    <x v="1"/>
    <x v="1"/>
    <x v="0"/>
    <x v="0"/>
    <x v="0"/>
    <x v="2"/>
    <x v="0"/>
    <m/>
    <x v="437"/>
  </r>
  <r>
    <s v="USR-100896"/>
    <d v="2025-02-11T00:00:00"/>
    <x v="1"/>
    <x v="1"/>
    <s v="Desktop"/>
    <x v="2"/>
    <x v="1"/>
    <x v="1"/>
    <x v="1"/>
    <x v="0"/>
    <x v="0"/>
    <x v="0"/>
    <x v="0"/>
    <x v="0"/>
    <m/>
    <x v="438"/>
  </r>
  <r>
    <s v="USR-100897"/>
    <d v="2025-05-09T00:00:00"/>
    <x v="1"/>
    <x v="3"/>
    <s v="Mobile"/>
    <x v="2"/>
    <x v="2"/>
    <x v="1"/>
    <x v="1"/>
    <x v="0"/>
    <x v="0"/>
    <x v="0"/>
    <x v="0"/>
    <x v="0"/>
    <m/>
    <x v="415"/>
  </r>
  <r>
    <s v="USR-100898"/>
    <d v="2025-02-02T00:00:00"/>
    <x v="1"/>
    <x v="3"/>
    <s v="Mobile"/>
    <x v="5"/>
    <x v="1"/>
    <x v="1"/>
    <x v="0"/>
    <x v="0"/>
    <x v="0"/>
    <x v="0"/>
    <x v="0"/>
    <x v="0"/>
    <m/>
    <x v="300"/>
  </r>
  <r>
    <s v="USR-100899"/>
    <d v="2025-04-03T00:00:00"/>
    <x v="1"/>
    <x v="3"/>
    <s v="Mobile"/>
    <x v="4"/>
    <x v="1"/>
    <x v="1"/>
    <x v="1"/>
    <x v="0"/>
    <x v="0"/>
    <x v="0"/>
    <x v="0"/>
    <x v="0"/>
    <m/>
    <x v="303"/>
  </r>
  <r>
    <s v="USR-100900"/>
    <d v="2025-02-15T00:00:00"/>
    <x v="1"/>
    <x v="0"/>
    <s v="Desktop"/>
    <x v="1"/>
    <x v="0"/>
    <x v="1"/>
    <x v="0"/>
    <x v="0"/>
    <x v="0"/>
    <x v="0"/>
    <x v="2"/>
    <x v="0"/>
    <m/>
    <x v="284"/>
  </r>
  <r>
    <s v="USR-100901"/>
    <d v="2025-04-18T00:00:00"/>
    <x v="1"/>
    <x v="3"/>
    <s v="Desktop"/>
    <x v="1"/>
    <x v="1"/>
    <x v="1"/>
    <x v="0"/>
    <x v="0"/>
    <x v="0"/>
    <x v="0"/>
    <x v="0"/>
    <x v="0"/>
    <m/>
    <x v="439"/>
  </r>
  <r>
    <s v="USR-100902"/>
    <d v="2025-03-14T00:00:00"/>
    <x v="1"/>
    <x v="1"/>
    <s v="Desktop"/>
    <x v="1"/>
    <x v="2"/>
    <x v="0"/>
    <x v="0"/>
    <x v="0"/>
    <x v="0"/>
    <x v="0"/>
    <x v="0"/>
    <x v="0"/>
    <m/>
    <x v="3"/>
  </r>
  <r>
    <s v="USR-100903"/>
    <d v="2025-03-29T00:00:00"/>
    <x v="1"/>
    <x v="3"/>
    <s v="Mobile"/>
    <x v="3"/>
    <x v="1"/>
    <x v="1"/>
    <x v="0"/>
    <x v="0"/>
    <x v="0"/>
    <x v="0"/>
    <x v="2"/>
    <x v="0"/>
    <m/>
    <x v="115"/>
  </r>
  <r>
    <s v="USR-100904"/>
    <d v="2025-02-13T00:00:00"/>
    <x v="1"/>
    <x v="0"/>
    <s v="Desktop"/>
    <x v="1"/>
    <x v="1"/>
    <x v="1"/>
    <x v="1"/>
    <x v="1"/>
    <x v="0"/>
    <x v="0"/>
    <x v="0"/>
    <x v="0"/>
    <m/>
    <x v="312"/>
  </r>
  <r>
    <s v="USR-100905"/>
    <d v="2025-01-23T00:00:00"/>
    <x v="1"/>
    <x v="3"/>
    <s v="Mobile"/>
    <x v="2"/>
    <x v="1"/>
    <x v="1"/>
    <x v="1"/>
    <x v="1"/>
    <x v="1"/>
    <x v="40"/>
    <x v="0"/>
    <x v="0"/>
    <n v="2"/>
    <x v="10"/>
  </r>
  <r>
    <s v="USR-100906"/>
    <d v="2025-02-24T00:00:00"/>
    <x v="1"/>
    <x v="2"/>
    <s v="Mobile"/>
    <x v="4"/>
    <x v="1"/>
    <x v="1"/>
    <x v="0"/>
    <x v="0"/>
    <x v="0"/>
    <x v="0"/>
    <x v="0"/>
    <x v="0"/>
    <m/>
    <x v="146"/>
  </r>
  <r>
    <s v="USR-100907"/>
    <d v="2025-02-28T00:00:00"/>
    <x v="1"/>
    <x v="1"/>
    <s v="Mobile"/>
    <x v="2"/>
    <x v="1"/>
    <x v="1"/>
    <x v="1"/>
    <x v="0"/>
    <x v="0"/>
    <x v="0"/>
    <x v="0"/>
    <x v="0"/>
    <m/>
    <x v="331"/>
  </r>
  <r>
    <s v="USR-100908"/>
    <d v="2025-01-07T00:00:00"/>
    <x v="1"/>
    <x v="1"/>
    <s v="Tablet"/>
    <x v="1"/>
    <x v="0"/>
    <x v="1"/>
    <x v="0"/>
    <x v="0"/>
    <x v="0"/>
    <x v="0"/>
    <x v="0"/>
    <x v="0"/>
    <m/>
    <x v="440"/>
  </r>
  <r>
    <s v="USR-100909"/>
    <d v="2025-03-21T00:00:00"/>
    <x v="1"/>
    <x v="1"/>
    <s v="Desktop"/>
    <x v="0"/>
    <x v="1"/>
    <x v="1"/>
    <x v="0"/>
    <x v="0"/>
    <x v="0"/>
    <x v="0"/>
    <x v="3"/>
    <x v="0"/>
    <m/>
    <x v="173"/>
  </r>
  <r>
    <s v="USR-100910"/>
    <d v="2025-02-18T00:00:00"/>
    <x v="1"/>
    <x v="0"/>
    <s v="Desktop"/>
    <x v="1"/>
    <x v="0"/>
    <x v="0"/>
    <x v="0"/>
    <x v="0"/>
    <x v="0"/>
    <x v="0"/>
    <x v="0"/>
    <x v="0"/>
    <m/>
    <x v="65"/>
  </r>
  <r>
    <s v="USR-100911"/>
    <d v="2025-01-05T00:00:00"/>
    <x v="1"/>
    <x v="0"/>
    <s v="Mobile"/>
    <x v="2"/>
    <x v="1"/>
    <x v="1"/>
    <x v="1"/>
    <x v="0"/>
    <x v="0"/>
    <x v="0"/>
    <x v="0"/>
    <x v="0"/>
    <m/>
    <x v="254"/>
  </r>
  <r>
    <s v="USR-100912"/>
    <d v="2025-03-11T00:00:00"/>
    <x v="1"/>
    <x v="2"/>
    <s v="Desktop"/>
    <x v="1"/>
    <x v="0"/>
    <x v="1"/>
    <x v="0"/>
    <x v="0"/>
    <x v="0"/>
    <x v="0"/>
    <x v="1"/>
    <x v="0"/>
    <m/>
    <x v="54"/>
  </r>
  <r>
    <s v="USR-100913"/>
    <d v="2025-01-09T00:00:00"/>
    <x v="1"/>
    <x v="0"/>
    <s v="Desktop"/>
    <x v="1"/>
    <x v="0"/>
    <x v="1"/>
    <x v="0"/>
    <x v="0"/>
    <x v="0"/>
    <x v="0"/>
    <x v="0"/>
    <x v="0"/>
    <m/>
    <x v="138"/>
  </r>
  <r>
    <s v="USR-100914"/>
    <d v="2025-01-08T00:00:00"/>
    <x v="1"/>
    <x v="3"/>
    <s v="Mobile"/>
    <x v="1"/>
    <x v="1"/>
    <x v="1"/>
    <x v="1"/>
    <x v="1"/>
    <x v="0"/>
    <x v="0"/>
    <x v="0"/>
    <x v="0"/>
    <m/>
    <x v="441"/>
  </r>
  <r>
    <s v="USR-100915"/>
    <d v="2025-05-01T00:00:00"/>
    <x v="1"/>
    <x v="2"/>
    <s v="Desktop"/>
    <x v="2"/>
    <x v="1"/>
    <x v="1"/>
    <x v="0"/>
    <x v="0"/>
    <x v="0"/>
    <x v="0"/>
    <x v="0"/>
    <x v="0"/>
    <m/>
    <x v="327"/>
  </r>
  <r>
    <s v="USR-100916"/>
    <d v="2025-03-03T00:00:00"/>
    <x v="1"/>
    <x v="3"/>
    <s v="Mobile"/>
    <x v="4"/>
    <x v="1"/>
    <x v="1"/>
    <x v="0"/>
    <x v="0"/>
    <x v="0"/>
    <x v="0"/>
    <x v="0"/>
    <x v="0"/>
    <m/>
    <x v="442"/>
  </r>
  <r>
    <s v="USR-100917"/>
    <d v="2025-02-23T00:00:00"/>
    <x v="1"/>
    <x v="1"/>
    <s v="Desktop"/>
    <x v="4"/>
    <x v="0"/>
    <x v="1"/>
    <x v="1"/>
    <x v="1"/>
    <x v="0"/>
    <x v="0"/>
    <x v="0"/>
    <x v="0"/>
    <m/>
    <x v="181"/>
  </r>
  <r>
    <s v="USR-100918"/>
    <d v="2025-02-17T00:00:00"/>
    <x v="1"/>
    <x v="3"/>
    <s v="Desktop"/>
    <x v="1"/>
    <x v="0"/>
    <x v="0"/>
    <x v="0"/>
    <x v="0"/>
    <x v="0"/>
    <x v="0"/>
    <x v="0"/>
    <x v="0"/>
    <m/>
    <x v="221"/>
  </r>
  <r>
    <s v="USR-100919"/>
    <d v="2025-05-21T00:00:00"/>
    <x v="1"/>
    <x v="2"/>
    <s v="Mobile"/>
    <x v="1"/>
    <x v="0"/>
    <x v="1"/>
    <x v="0"/>
    <x v="0"/>
    <x v="0"/>
    <x v="0"/>
    <x v="0"/>
    <x v="0"/>
    <m/>
    <x v="407"/>
  </r>
  <r>
    <s v="USR-100920"/>
    <d v="2025-01-30T00:00:00"/>
    <x v="1"/>
    <x v="3"/>
    <s v="Mobile"/>
    <x v="1"/>
    <x v="1"/>
    <x v="1"/>
    <x v="0"/>
    <x v="0"/>
    <x v="0"/>
    <x v="0"/>
    <x v="0"/>
    <x v="0"/>
    <m/>
    <x v="79"/>
  </r>
  <r>
    <s v="USR-100921"/>
    <d v="2025-03-20T00:00:00"/>
    <x v="1"/>
    <x v="1"/>
    <s v="Mobile"/>
    <x v="0"/>
    <x v="1"/>
    <x v="1"/>
    <x v="1"/>
    <x v="1"/>
    <x v="1"/>
    <x v="41"/>
    <x v="0"/>
    <x v="0"/>
    <n v="8"/>
    <x v="114"/>
  </r>
  <r>
    <s v="USR-100922"/>
    <d v="2025-04-10T00:00:00"/>
    <x v="1"/>
    <x v="1"/>
    <s v="Tablet"/>
    <x v="2"/>
    <x v="1"/>
    <x v="0"/>
    <x v="0"/>
    <x v="0"/>
    <x v="0"/>
    <x v="0"/>
    <x v="0"/>
    <x v="0"/>
    <m/>
    <x v="262"/>
  </r>
  <r>
    <s v="USR-100923"/>
    <d v="2025-03-07T00:00:00"/>
    <x v="1"/>
    <x v="0"/>
    <s v="Desktop"/>
    <x v="1"/>
    <x v="1"/>
    <x v="1"/>
    <x v="1"/>
    <x v="1"/>
    <x v="0"/>
    <x v="0"/>
    <x v="0"/>
    <x v="0"/>
    <m/>
    <x v="95"/>
  </r>
  <r>
    <s v="USR-100924"/>
    <d v="2025-03-12T00:00:00"/>
    <x v="1"/>
    <x v="1"/>
    <s v="Mobile"/>
    <x v="0"/>
    <x v="0"/>
    <x v="1"/>
    <x v="0"/>
    <x v="0"/>
    <x v="0"/>
    <x v="0"/>
    <x v="0"/>
    <x v="0"/>
    <m/>
    <x v="218"/>
  </r>
  <r>
    <s v="USR-100925"/>
    <d v="2025-02-24T00:00:00"/>
    <x v="1"/>
    <x v="2"/>
    <s v="Mobile"/>
    <x v="3"/>
    <x v="1"/>
    <x v="0"/>
    <x v="0"/>
    <x v="0"/>
    <x v="0"/>
    <x v="0"/>
    <x v="0"/>
    <x v="0"/>
    <m/>
    <x v="385"/>
  </r>
  <r>
    <s v="USR-100926"/>
    <d v="2025-01-15T00:00:00"/>
    <x v="1"/>
    <x v="2"/>
    <s v="Mobile"/>
    <x v="3"/>
    <x v="1"/>
    <x v="1"/>
    <x v="1"/>
    <x v="1"/>
    <x v="0"/>
    <x v="0"/>
    <x v="0"/>
    <x v="0"/>
    <m/>
    <x v="154"/>
  </r>
  <r>
    <s v="USR-100927"/>
    <d v="2025-01-07T00:00:00"/>
    <x v="1"/>
    <x v="0"/>
    <s v="Desktop"/>
    <x v="2"/>
    <x v="1"/>
    <x v="1"/>
    <x v="0"/>
    <x v="0"/>
    <x v="0"/>
    <x v="0"/>
    <x v="0"/>
    <x v="0"/>
    <m/>
    <x v="192"/>
  </r>
  <r>
    <s v="USR-100928"/>
    <d v="2025-03-02T00:00:00"/>
    <x v="1"/>
    <x v="0"/>
    <s v="Desktop"/>
    <x v="1"/>
    <x v="1"/>
    <x v="0"/>
    <x v="0"/>
    <x v="0"/>
    <x v="0"/>
    <x v="0"/>
    <x v="0"/>
    <x v="0"/>
    <m/>
    <x v="328"/>
  </r>
  <r>
    <s v="USR-100929"/>
    <d v="2025-01-05T00:00:00"/>
    <x v="1"/>
    <x v="3"/>
    <s v="Desktop"/>
    <x v="3"/>
    <x v="0"/>
    <x v="0"/>
    <x v="0"/>
    <x v="0"/>
    <x v="0"/>
    <x v="0"/>
    <x v="0"/>
    <x v="0"/>
    <m/>
    <x v="335"/>
  </r>
  <r>
    <s v="USR-100930"/>
    <d v="2025-03-03T00:00:00"/>
    <x v="1"/>
    <x v="3"/>
    <s v="Mobile"/>
    <x v="1"/>
    <x v="1"/>
    <x v="1"/>
    <x v="1"/>
    <x v="0"/>
    <x v="0"/>
    <x v="0"/>
    <x v="0"/>
    <x v="0"/>
    <m/>
    <x v="328"/>
  </r>
  <r>
    <s v="USR-100931"/>
    <d v="2025-03-31T00:00:00"/>
    <x v="1"/>
    <x v="2"/>
    <s v="Desktop"/>
    <x v="3"/>
    <x v="1"/>
    <x v="1"/>
    <x v="1"/>
    <x v="1"/>
    <x v="1"/>
    <x v="42"/>
    <x v="0"/>
    <x v="0"/>
    <n v="3"/>
    <x v="424"/>
  </r>
  <r>
    <s v="USR-100932"/>
    <d v="2025-01-14T00:00:00"/>
    <x v="1"/>
    <x v="2"/>
    <s v="Desktop"/>
    <x v="2"/>
    <x v="2"/>
    <x v="0"/>
    <x v="0"/>
    <x v="0"/>
    <x v="0"/>
    <x v="0"/>
    <x v="1"/>
    <x v="0"/>
    <m/>
    <x v="115"/>
  </r>
  <r>
    <s v="USR-100933"/>
    <d v="2025-01-15T00:00:00"/>
    <x v="1"/>
    <x v="1"/>
    <s v="Desktop"/>
    <x v="2"/>
    <x v="2"/>
    <x v="1"/>
    <x v="0"/>
    <x v="0"/>
    <x v="0"/>
    <x v="0"/>
    <x v="0"/>
    <x v="0"/>
    <m/>
    <x v="443"/>
  </r>
  <r>
    <s v="USR-100934"/>
    <d v="2025-04-25T00:00:00"/>
    <x v="1"/>
    <x v="1"/>
    <s v="Desktop"/>
    <x v="1"/>
    <x v="1"/>
    <x v="1"/>
    <x v="0"/>
    <x v="0"/>
    <x v="0"/>
    <x v="0"/>
    <x v="0"/>
    <x v="0"/>
    <m/>
    <x v="40"/>
  </r>
  <r>
    <s v="USR-100935"/>
    <d v="2025-03-21T00:00:00"/>
    <x v="1"/>
    <x v="2"/>
    <s v="Mobile"/>
    <x v="1"/>
    <x v="0"/>
    <x v="1"/>
    <x v="1"/>
    <x v="0"/>
    <x v="0"/>
    <x v="0"/>
    <x v="0"/>
    <x v="0"/>
    <m/>
    <x v="297"/>
  </r>
  <r>
    <s v="USR-100936"/>
    <d v="2025-04-26T00:00:00"/>
    <x v="1"/>
    <x v="3"/>
    <s v="Mobile"/>
    <x v="2"/>
    <x v="0"/>
    <x v="1"/>
    <x v="1"/>
    <x v="1"/>
    <x v="0"/>
    <x v="0"/>
    <x v="0"/>
    <x v="0"/>
    <m/>
    <x v="103"/>
  </r>
  <r>
    <s v="USR-100937"/>
    <d v="2025-05-21T00:00:00"/>
    <x v="1"/>
    <x v="3"/>
    <s v="Desktop"/>
    <x v="5"/>
    <x v="0"/>
    <x v="0"/>
    <x v="0"/>
    <x v="0"/>
    <x v="0"/>
    <x v="0"/>
    <x v="0"/>
    <x v="0"/>
    <m/>
    <x v="444"/>
  </r>
  <r>
    <s v="USR-100938"/>
    <d v="2025-04-18T00:00:00"/>
    <x v="1"/>
    <x v="2"/>
    <s v="Mobile"/>
    <x v="2"/>
    <x v="1"/>
    <x v="0"/>
    <x v="0"/>
    <x v="0"/>
    <x v="0"/>
    <x v="0"/>
    <x v="0"/>
    <x v="0"/>
    <m/>
    <x v="136"/>
  </r>
  <r>
    <s v="USR-100939"/>
    <d v="2025-01-29T00:00:00"/>
    <x v="1"/>
    <x v="0"/>
    <s v="Desktop"/>
    <x v="0"/>
    <x v="2"/>
    <x v="1"/>
    <x v="1"/>
    <x v="0"/>
    <x v="0"/>
    <x v="0"/>
    <x v="0"/>
    <x v="0"/>
    <m/>
    <x v="445"/>
  </r>
  <r>
    <s v="USR-100940"/>
    <d v="2025-05-28T00:00:00"/>
    <x v="1"/>
    <x v="1"/>
    <s v="Mobile"/>
    <x v="1"/>
    <x v="2"/>
    <x v="0"/>
    <x v="0"/>
    <x v="0"/>
    <x v="0"/>
    <x v="0"/>
    <x v="0"/>
    <x v="0"/>
    <m/>
    <x v="300"/>
  </r>
  <r>
    <s v="USR-100941"/>
    <d v="2025-01-15T00:00:00"/>
    <x v="1"/>
    <x v="2"/>
    <s v="Mobile"/>
    <x v="0"/>
    <x v="1"/>
    <x v="1"/>
    <x v="1"/>
    <x v="1"/>
    <x v="0"/>
    <x v="0"/>
    <x v="2"/>
    <x v="0"/>
    <m/>
    <x v="270"/>
  </r>
  <r>
    <s v="USR-100942"/>
    <d v="2025-01-03T00:00:00"/>
    <x v="1"/>
    <x v="3"/>
    <s v="Mobile"/>
    <x v="1"/>
    <x v="0"/>
    <x v="1"/>
    <x v="1"/>
    <x v="0"/>
    <x v="0"/>
    <x v="0"/>
    <x v="0"/>
    <x v="0"/>
    <m/>
    <x v="202"/>
  </r>
  <r>
    <s v="USR-100943"/>
    <d v="2025-02-04T00:00:00"/>
    <x v="1"/>
    <x v="3"/>
    <s v="Mobile"/>
    <x v="2"/>
    <x v="1"/>
    <x v="1"/>
    <x v="1"/>
    <x v="1"/>
    <x v="1"/>
    <x v="43"/>
    <x v="1"/>
    <x v="0"/>
    <n v="7"/>
    <x v="277"/>
  </r>
  <r>
    <s v="USR-100944"/>
    <d v="2025-02-22T00:00:00"/>
    <x v="1"/>
    <x v="3"/>
    <s v="Mobile"/>
    <x v="3"/>
    <x v="2"/>
    <x v="1"/>
    <x v="0"/>
    <x v="0"/>
    <x v="0"/>
    <x v="0"/>
    <x v="0"/>
    <x v="0"/>
    <m/>
    <x v="171"/>
  </r>
  <r>
    <s v="USR-100945"/>
    <d v="2025-05-06T00:00:00"/>
    <x v="1"/>
    <x v="1"/>
    <s v="Mobile"/>
    <x v="1"/>
    <x v="0"/>
    <x v="1"/>
    <x v="0"/>
    <x v="0"/>
    <x v="0"/>
    <x v="0"/>
    <x v="0"/>
    <x v="0"/>
    <m/>
    <x v="446"/>
  </r>
  <r>
    <s v="USR-100946"/>
    <d v="2025-01-31T00:00:00"/>
    <x v="1"/>
    <x v="3"/>
    <s v="Mobile"/>
    <x v="1"/>
    <x v="1"/>
    <x v="1"/>
    <x v="0"/>
    <x v="0"/>
    <x v="0"/>
    <x v="0"/>
    <x v="3"/>
    <x v="0"/>
    <m/>
    <x v="139"/>
  </r>
  <r>
    <s v="USR-100947"/>
    <d v="2025-02-18T00:00:00"/>
    <x v="1"/>
    <x v="0"/>
    <s v="Mobile"/>
    <x v="4"/>
    <x v="0"/>
    <x v="0"/>
    <x v="0"/>
    <x v="0"/>
    <x v="0"/>
    <x v="0"/>
    <x v="0"/>
    <x v="0"/>
    <m/>
    <x v="193"/>
  </r>
  <r>
    <s v="USR-100948"/>
    <d v="2025-04-23T00:00:00"/>
    <x v="1"/>
    <x v="2"/>
    <s v="Mobile"/>
    <x v="2"/>
    <x v="1"/>
    <x v="1"/>
    <x v="1"/>
    <x v="1"/>
    <x v="1"/>
    <x v="44"/>
    <x v="0"/>
    <x v="0"/>
    <n v="10"/>
    <x v="291"/>
  </r>
  <r>
    <s v="USR-100949"/>
    <d v="2025-02-06T00:00:00"/>
    <x v="1"/>
    <x v="0"/>
    <s v="Mobile"/>
    <x v="1"/>
    <x v="1"/>
    <x v="1"/>
    <x v="1"/>
    <x v="1"/>
    <x v="0"/>
    <x v="0"/>
    <x v="0"/>
    <x v="0"/>
    <m/>
    <x v="42"/>
  </r>
  <r>
    <s v="USR-100950"/>
    <d v="2025-04-26T00:00:00"/>
    <x v="1"/>
    <x v="3"/>
    <s v="Desktop"/>
    <x v="2"/>
    <x v="1"/>
    <x v="0"/>
    <x v="0"/>
    <x v="0"/>
    <x v="0"/>
    <x v="0"/>
    <x v="0"/>
    <x v="0"/>
    <m/>
    <x v="311"/>
  </r>
  <r>
    <s v="USR-100951"/>
    <d v="2025-03-30T00:00:00"/>
    <x v="1"/>
    <x v="1"/>
    <s v="Desktop"/>
    <x v="2"/>
    <x v="0"/>
    <x v="1"/>
    <x v="0"/>
    <x v="0"/>
    <x v="0"/>
    <x v="0"/>
    <x v="0"/>
    <x v="0"/>
    <m/>
    <x v="234"/>
  </r>
  <r>
    <s v="USR-100952"/>
    <d v="2025-04-13T00:00:00"/>
    <x v="1"/>
    <x v="1"/>
    <s v="Mobile"/>
    <x v="5"/>
    <x v="2"/>
    <x v="1"/>
    <x v="0"/>
    <x v="0"/>
    <x v="0"/>
    <x v="0"/>
    <x v="0"/>
    <x v="0"/>
    <m/>
    <x v="6"/>
  </r>
  <r>
    <s v="USR-100953"/>
    <d v="2025-04-04T00:00:00"/>
    <x v="1"/>
    <x v="2"/>
    <s v="Desktop"/>
    <x v="1"/>
    <x v="2"/>
    <x v="0"/>
    <x v="0"/>
    <x v="0"/>
    <x v="0"/>
    <x v="0"/>
    <x v="1"/>
    <x v="0"/>
    <m/>
    <x v="447"/>
  </r>
  <r>
    <s v="USR-100954"/>
    <d v="2025-04-03T00:00:00"/>
    <x v="1"/>
    <x v="0"/>
    <s v="Desktop"/>
    <x v="3"/>
    <x v="1"/>
    <x v="1"/>
    <x v="0"/>
    <x v="0"/>
    <x v="0"/>
    <x v="0"/>
    <x v="1"/>
    <x v="0"/>
    <m/>
    <x v="448"/>
  </r>
  <r>
    <s v="USR-100955"/>
    <d v="2025-03-14T00:00:00"/>
    <x v="1"/>
    <x v="1"/>
    <s v="Mobile"/>
    <x v="2"/>
    <x v="2"/>
    <x v="1"/>
    <x v="0"/>
    <x v="0"/>
    <x v="0"/>
    <x v="0"/>
    <x v="0"/>
    <x v="0"/>
    <m/>
    <x v="399"/>
  </r>
  <r>
    <s v="USR-100956"/>
    <d v="2025-01-14T00:00:00"/>
    <x v="1"/>
    <x v="1"/>
    <s v="Mobile"/>
    <x v="3"/>
    <x v="1"/>
    <x v="0"/>
    <x v="0"/>
    <x v="0"/>
    <x v="0"/>
    <x v="0"/>
    <x v="2"/>
    <x v="0"/>
    <m/>
    <x v="29"/>
  </r>
  <r>
    <s v="USR-100957"/>
    <d v="2025-05-05T00:00:00"/>
    <x v="1"/>
    <x v="1"/>
    <s v="Mobile"/>
    <x v="2"/>
    <x v="1"/>
    <x v="0"/>
    <x v="0"/>
    <x v="0"/>
    <x v="0"/>
    <x v="0"/>
    <x v="0"/>
    <x v="0"/>
    <m/>
    <x v="53"/>
  </r>
  <r>
    <s v="USR-100958"/>
    <d v="2025-05-02T00:00:00"/>
    <x v="1"/>
    <x v="1"/>
    <s v="Desktop"/>
    <x v="4"/>
    <x v="1"/>
    <x v="0"/>
    <x v="0"/>
    <x v="0"/>
    <x v="0"/>
    <x v="0"/>
    <x v="1"/>
    <x v="0"/>
    <m/>
    <x v="308"/>
  </r>
  <r>
    <s v="USR-100959"/>
    <d v="2025-05-21T00:00:00"/>
    <x v="1"/>
    <x v="2"/>
    <s v="Mobile"/>
    <x v="1"/>
    <x v="1"/>
    <x v="1"/>
    <x v="0"/>
    <x v="0"/>
    <x v="0"/>
    <x v="0"/>
    <x v="0"/>
    <x v="0"/>
    <m/>
    <x v="318"/>
  </r>
  <r>
    <s v="USR-100960"/>
    <d v="2025-05-16T00:00:00"/>
    <x v="1"/>
    <x v="0"/>
    <s v="Mobile"/>
    <x v="3"/>
    <x v="2"/>
    <x v="1"/>
    <x v="0"/>
    <x v="0"/>
    <x v="0"/>
    <x v="0"/>
    <x v="2"/>
    <x v="0"/>
    <m/>
    <x v="446"/>
  </r>
  <r>
    <s v="USR-100961"/>
    <d v="2025-05-24T00:00:00"/>
    <x v="1"/>
    <x v="2"/>
    <s v="Desktop"/>
    <x v="1"/>
    <x v="2"/>
    <x v="1"/>
    <x v="1"/>
    <x v="1"/>
    <x v="0"/>
    <x v="0"/>
    <x v="1"/>
    <x v="0"/>
    <m/>
    <x v="449"/>
  </r>
  <r>
    <s v="USR-100962"/>
    <d v="2025-03-18T00:00:00"/>
    <x v="1"/>
    <x v="2"/>
    <s v="Mobile"/>
    <x v="1"/>
    <x v="0"/>
    <x v="1"/>
    <x v="0"/>
    <x v="0"/>
    <x v="0"/>
    <x v="0"/>
    <x v="0"/>
    <x v="0"/>
    <m/>
    <x v="35"/>
  </r>
  <r>
    <s v="USR-100963"/>
    <d v="2025-01-11T00:00:00"/>
    <x v="1"/>
    <x v="2"/>
    <s v="Desktop"/>
    <x v="2"/>
    <x v="1"/>
    <x v="0"/>
    <x v="0"/>
    <x v="0"/>
    <x v="0"/>
    <x v="0"/>
    <x v="1"/>
    <x v="0"/>
    <m/>
    <x v="184"/>
  </r>
  <r>
    <s v="USR-100964"/>
    <d v="2025-02-09T00:00:00"/>
    <x v="1"/>
    <x v="3"/>
    <s v="Mobile"/>
    <x v="1"/>
    <x v="0"/>
    <x v="0"/>
    <x v="0"/>
    <x v="0"/>
    <x v="0"/>
    <x v="0"/>
    <x v="0"/>
    <x v="0"/>
    <m/>
    <x v="403"/>
  </r>
  <r>
    <s v="USR-100965"/>
    <d v="2025-03-01T00:00:00"/>
    <x v="1"/>
    <x v="0"/>
    <s v="Desktop"/>
    <x v="4"/>
    <x v="1"/>
    <x v="1"/>
    <x v="0"/>
    <x v="0"/>
    <x v="0"/>
    <x v="0"/>
    <x v="0"/>
    <x v="0"/>
    <m/>
    <x v="232"/>
  </r>
  <r>
    <s v="USR-100966"/>
    <d v="2025-05-07T00:00:00"/>
    <x v="1"/>
    <x v="0"/>
    <s v="Mobile"/>
    <x v="1"/>
    <x v="0"/>
    <x v="0"/>
    <x v="0"/>
    <x v="0"/>
    <x v="0"/>
    <x v="0"/>
    <x v="0"/>
    <x v="0"/>
    <m/>
    <x v="24"/>
  </r>
  <r>
    <s v="USR-100967"/>
    <d v="2025-02-19T00:00:00"/>
    <x v="1"/>
    <x v="3"/>
    <s v="Desktop"/>
    <x v="5"/>
    <x v="1"/>
    <x v="1"/>
    <x v="0"/>
    <x v="0"/>
    <x v="0"/>
    <x v="0"/>
    <x v="0"/>
    <x v="0"/>
    <m/>
    <x v="175"/>
  </r>
  <r>
    <s v="USR-100968"/>
    <d v="2025-02-26T00:00:00"/>
    <x v="1"/>
    <x v="1"/>
    <s v="Mobile"/>
    <x v="1"/>
    <x v="2"/>
    <x v="1"/>
    <x v="0"/>
    <x v="0"/>
    <x v="0"/>
    <x v="0"/>
    <x v="0"/>
    <x v="0"/>
    <m/>
    <x v="450"/>
  </r>
  <r>
    <s v="USR-100969"/>
    <d v="2025-03-23T00:00:00"/>
    <x v="1"/>
    <x v="3"/>
    <s v="Mobile"/>
    <x v="4"/>
    <x v="1"/>
    <x v="0"/>
    <x v="0"/>
    <x v="0"/>
    <x v="0"/>
    <x v="0"/>
    <x v="0"/>
    <x v="0"/>
    <m/>
    <x v="327"/>
  </r>
  <r>
    <s v="USR-100970"/>
    <d v="2025-04-25T00:00:00"/>
    <x v="1"/>
    <x v="3"/>
    <s v="Desktop"/>
    <x v="4"/>
    <x v="1"/>
    <x v="0"/>
    <x v="0"/>
    <x v="0"/>
    <x v="0"/>
    <x v="0"/>
    <x v="1"/>
    <x v="0"/>
    <m/>
    <x v="451"/>
  </r>
  <r>
    <s v="USR-100971"/>
    <d v="2025-05-10T00:00:00"/>
    <x v="1"/>
    <x v="0"/>
    <s v="Desktop"/>
    <x v="4"/>
    <x v="1"/>
    <x v="1"/>
    <x v="1"/>
    <x v="1"/>
    <x v="0"/>
    <x v="0"/>
    <x v="0"/>
    <x v="0"/>
    <m/>
    <x v="452"/>
  </r>
  <r>
    <s v="USR-100972"/>
    <d v="2025-04-22T00:00:00"/>
    <x v="1"/>
    <x v="2"/>
    <s v="Mobile"/>
    <x v="2"/>
    <x v="2"/>
    <x v="0"/>
    <x v="0"/>
    <x v="0"/>
    <x v="0"/>
    <x v="0"/>
    <x v="0"/>
    <x v="0"/>
    <m/>
    <x v="453"/>
  </r>
  <r>
    <s v="USR-100973"/>
    <d v="2025-02-18T00:00:00"/>
    <x v="1"/>
    <x v="1"/>
    <s v="Mobile"/>
    <x v="3"/>
    <x v="0"/>
    <x v="1"/>
    <x v="1"/>
    <x v="1"/>
    <x v="0"/>
    <x v="0"/>
    <x v="0"/>
    <x v="0"/>
    <m/>
    <x v="327"/>
  </r>
  <r>
    <s v="USR-100974"/>
    <d v="2025-01-26T00:00:00"/>
    <x v="1"/>
    <x v="3"/>
    <s v="Mobile"/>
    <x v="2"/>
    <x v="2"/>
    <x v="1"/>
    <x v="1"/>
    <x v="1"/>
    <x v="0"/>
    <x v="0"/>
    <x v="0"/>
    <x v="0"/>
    <m/>
    <x v="164"/>
  </r>
  <r>
    <s v="USR-100975"/>
    <d v="2025-04-28T00:00:00"/>
    <x v="1"/>
    <x v="0"/>
    <s v="Mobile"/>
    <x v="1"/>
    <x v="1"/>
    <x v="1"/>
    <x v="0"/>
    <x v="0"/>
    <x v="0"/>
    <x v="0"/>
    <x v="0"/>
    <x v="0"/>
    <m/>
    <x v="169"/>
  </r>
  <r>
    <s v="USR-100976"/>
    <d v="2025-04-02T00:00:00"/>
    <x v="1"/>
    <x v="3"/>
    <s v="Desktop"/>
    <x v="0"/>
    <x v="0"/>
    <x v="1"/>
    <x v="0"/>
    <x v="0"/>
    <x v="0"/>
    <x v="0"/>
    <x v="0"/>
    <x v="0"/>
    <m/>
    <x v="388"/>
  </r>
  <r>
    <s v="USR-100977"/>
    <d v="2025-04-12T00:00:00"/>
    <x v="1"/>
    <x v="3"/>
    <s v="Desktop"/>
    <x v="0"/>
    <x v="2"/>
    <x v="1"/>
    <x v="1"/>
    <x v="0"/>
    <x v="0"/>
    <x v="0"/>
    <x v="0"/>
    <x v="0"/>
    <m/>
    <x v="310"/>
  </r>
  <r>
    <s v="USR-100978"/>
    <d v="2025-01-03T00:00:00"/>
    <x v="1"/>
    <x v="1"/>
    <s v="Desktop"/>
    <x v="0"/>
    <x v="0"/>
    <x v="1"/>
    <x v="1"/>
    <x v="1"/>
    <x v="0"/>
    <x v="0"/>
    <x v="1"/>
    <x v="0"/>
    <m/>
    <x v="310"/>
  </r>
  <r>
    <s v="USR-100979"/>
    <d v="2025-05-08T00:00:00"/>
    <x v="1"/>
    <x v="0"/>
    <s v="Mobile"/>
    <x v="2"/>
    <x v="1"/>
    <x v="1"/>
    <x v="0"/>
    <x v="0"/>
    <x v="0"/>
    <x v="0"/>
    <x v="0"/>
    <x v="0"/>
    <m/>
    <x v="317"/>
  </r>
  <r>
    <s v="USR-100980"/>
    <d v="2025-02-20T00:00:00"/>
    <x v="1"/>
    <x v="0"/>
    <s v="Mobile"/>
    <x v="3"/>
    <x v="2"/>
    <x v="1"/>
    <x v="0"/>
    <x v="0"/>
    <x v="0"/>
    <x v="0"/>
    <x v="1"/>
    <x v="0"/>
    <m/>
    <x v="454"/>
  </r>
  <r>
    <s v="USR-100981"/>
    <d v="2025-03-17T00:00:00"/>
    <x v="1"/>
    <x v="0"/>
    <s v="Desktop"/>
    <x v="2"/>
    <x v="2"/>
    <x v="1"/>
    <x v="0"/>
    <x v="0"/>
    <x v="0"/>
    <x v="0"/>
    <x v="0"/>
    <x v="0"/>
    <m/>
    <x v="326"/>
  </r>
  <r>
    <s v="USR-100982"/>
    <d v="2025-04-10T00:00:00"/>
    <x v="1"/>
    <x v="3"/>
    <s v="Desktop"/>
    <x v="0"/>
    <x v="1"/>
    <x v="1"/>
    <x v="0"/>
    <x v="0"/>
    <x v="0"/>
    <x v="0"/>
    <x v="3"/>
    <x v="0"/>
    <m/>
    <x v="39"/>
  </r>
  <r>
    <s v="USR-100983"/>
    <d v="2025-05-08T00:00:00"/>
    <x v="1"/>
    <x v="0"/>
    <s v="Desktop"/>
    <x v="3"/>
    <x v="1"/>
    <x v="1"/>
    <x v="0"/>
    <x v="0"/>
    <x v="0"/>
    <x v="0"/>
    <x v="0"/>
    <x v="0"/>
    <m/>
    <x v="103"/>
  </r>
  <r>
    <s v="USR-100984"/>
    <d v="2025-04-19T00:00:00"/>
    <x v="1"/>
    <x v="1"/>
    <s v="Mobile"/>
    <x v="2"/>
    <x v="0"/>
    <x v="1"/>
    <x v="0"/>
    <x v="0"/>
    <x v="0"/>
    <x v="0"/>
    <x v="0"/>
    <x v="0"/>
    <m/>
    <x v="26"/>
  </r>
  <r>
    <s v="USR-100985"/>
    <d v="2025-01-01T00:00:00"/>
    <x v="1"/>
    <x v="3"/>
    <s v="Tablet"/>
    <x v="2"/>
    <x v="0"/>
    <x v="1"/>
    <x v="0"/>
    <x v="0"/>
    <x v="0"/>
    <x v="0"/>
    <x v="0"/>
    <x v="0"/>
    <m/>
    <x v="167"/>
  </r>
  <r>
    <s v="USR-100986"/>
    <d v="2025-03-10T00:00:00"/>
    <x v="1"/>
    <x v="2"/>
    <s v="Mobile"/>
    <x v="2"/>
    <x v="1"/>
    <x v="1"/>
    <x v="0"/>
    <x v="0"/>
    <x v="0"/>
    <x v="0"/>
    <x v="0"/>
    <x v="0"/>
    <m/>
    <x v="165"/>
  </r>
  <r>
    <s v="USR-100987"/>
    <d v="2025-03-10T00:00:00"/>
    <x v="1"/>
    <x v="2"/>
    <s v="Tablet"/>
    <x v="4"/>
    <x v="2"/>
    <x v="0"/>
    <x v="0"/>
    <x v="0"/>
    <x v="0"/>
    <x v="0"/>
    <x v="2"/>
    <x v="0"/>
    <m/>
    <x v="210"/>
  </r>
  <r>
    <s v="USR-100988"/>
    <d v="2025-04-19T00:00:00"/>
    <x v="1"/>
    <x v="1"/>
    <s v="Tablet"/>
    <x v="0"/>
    <x v="0"/>
    <x v="1"/>
    <x v="0"/>
    <x v="0"/>
    <x v="0"/>
    <x v="0"/>
    <x v="0"/>
    <x v="0"/>
    <m/>
    <x v="170"/>
  </r>
  <r>
    <s v="USR-100989"/>
    <d v="2025-04-11T00:00:00"/>
    <x v="1"/>
    <x v="1"/>
    <s v="Desktop"/>
    <x v="1"/>
    <x v="1"/>
    <x v="0"/>
    <x v="0"/>
    <x v="0"/>
    <x v="0"/>
    <x v="0"/>
    <x v="0"/>
    <x v="0"/>
    <m/>
    <x v="364"/>
  </r>
  <r>
    <s v="USR-100990"/>
    <d v="2025-04-10T00:00:00"/>
    <x v="1"/>
    <x v="2"/>
    <s v="Mobile"/>
    <x v="1"/>
    <x v="0"/>
    <x v="1"/>
    <x v="0"/>
    <x v="0"/>
    <x v="0"/>
    <x v="0"/>
    <x v="1"/>
    <x v="0"/>
    <m/>
    <x v="267"/>
  </r>
  <r>
    <s v="USR-100991"/>
    <d v="2025-01-13T00:00:00"/>
    <x v="1"/>
    <x v="1"/>
    <s v="Desktop"/>
    <x v="4"/>
    <x v="1"/>
    <x v="1"/>
    <x v="0"/>
    <x v="0"/>
    <x v="0"/>
    <x v="0"/>
    <x v="0"/>
    <x v="0"/>
    <m/>
    <x v="132"/>
  </r>
  <r>
    <s v="USR-100992"/>
    <d v="2025-03-28T00:00:00"/>
    <x v="1"/>
    <x v="3"/>
    <s v="Desktop"/>
    <x v="1"/>
    <x v="1"/>
    <x v="1"/>
    <x v="1"/>
    <x v="0"/>
    <x v="0"/>
    <x v="0"/>
    <x v="0"/>
    <x v="0"/>
    <m/>
    <x v="275"/>
  </r>
  <r>
    <s v="USR-100993"/>
    <d v="2025-01-29T00:00:00"/>
    <x v="1"/>
    <x v="2"/>
    <s v="Mobile"/>
    <x v="2"/>
    <x v="1"/>
    <x v="1"/>
    <x v="1"/>
    <x v="1"/>
    <x v="1"/>
    <x v="45"/>
    <x v="0"/>
    <x v="0"/>
    <n v="8"/>
    <x v="14"/>
  </r>
  <r>
    <s v="USR-100994"/>
    <d v="2025-03-27T00:00:00"/>
    <x v="1"/>
    <x v="3"/>
    <s v="Mobile"/>
    <x v="3"/>
    <x v="1"/>
    <x v="0"/>
    <x v="0"/>
    <x v="0"/>
    <x v="0"/>
    <x v="0"/>
    <x v="0"/>
    <x v="0"/>
    <m/>
    <x v="455"/>
  </r>
  <r>
    <s v="USR-100995"/>
    <d v="2025-03-20T00:00:00"/>
    <x v="1"/>
    <x v="2"/>
    <s v="Tablet"/>
    <x v="4"/>
    <x v="1"/>
    <x v="0"/>
    <x v="0"/>
    <x v="0"/>
    <x v="0"/>
    <x v="0"/>
    <x v="0"/>
    <x v="0"/>
    <m/>
    <x v="456"/>
  </r>
  <r>
    <s v="USR-100996"/>
    <d v="2025-01-09T00:00:00"/>
    <x v="1"/>
    <x v="0"/>
    <s v="Mobile"/>
    <x v="2"/>
    <x v="0"/>
    <x v="0"/>
    <x v="0"/>
    <x v="0"/>
    <x v="0"/>
    <x v="0"/>
    <x v="1"/>
    <x v="0"/>
    <m/>
    <x v="104"/>
  </r>
  <r>
    <s v="USR-100997"/>
    <d v="2025-04-25T00:00:00"/>
    <x v="1"/>
    <x v="1"/>
    <s v="Mobile"/>
    <x v="4"/>
    <x v="1"/>
    <x v="1"/>
    <x v="1"/>
    <x v="1"/>
    <x v="1"/>
    <x v="46"/>
    <x v="0"/>
    <x v="1"/>
    <n v="8"/>
    <x v="80"/>
  </r>
  <r>
    <s v="USR-100998"/>
    <d v="2025-04-11T00:00:00"/>
    <x v="1"/>
    <x v="3"/>
    <s v="Desktop"/>
    <x v="4"/>
    <x v="1"/>
    <x v="1"/>
    <x v="0"/>
    <x v="0"/>
    <x v="0"/>
    <x v="0"/>
    <x v="0"/>
    <x v="0"/>
    <m/>
    <x v="426"/>
  </r>
  <r>
    <s v="USR-100999"/>
    <d v="2025-02-05T00:00:00"/>
    <x v="1"/>
    <x v="2"/>
    <s v="Mobile"/>
    <x v="4"/>
    <x v="0"/>
    <x v="1"/>
    <x v="1"/>
    <x v="1"/>
    <x v="0"/>
    <x v="0"/>
    <x v="0"/>
    <x v="0"/>
    <m/>
    <x v="457"/>
  </r>
  <r>
    <s v="USR-101000"/>
    <d v="2025-03-28T00:00:00"/>
    <x v="1"/>
    <x v="3"/>
    <s v="Mobile"/>
    <x v="4"/>
    <x v="2"/>
    <x v="1"/>
    <x v="0"/>
    <x v="0"/>
    <x v="0"/>
    <x v="0"/>
    <x v="1"/>
    <x v="0"/>
    <m/>
    <x v="286"/>
  </r>
  <r>
    <s v="USR-101001"/>
    <d v="2025-05-14T00:00:00"/>
    <x v="1"/>
    <x v="3"/>
    <s v="Mobile"/>
    <x v="3"/>
    <x v="1"/>
    <x v="0"/>
    <x v="0"/>
    <x v="0"/>
    <x v="0"/>
    <x v="0"/>
    <x v="0"/>
    <x v="0"/>
    <m/>
    <x v="291"/>
  </r>
  <r>
    <s v="USR-101002"/>
    <d v="2025-03-10T00:00:00"/>
    <x v="1"/>
    <x v="2"/>
    <s v="Mobile"/>
    <x v="2"/>
    <x v="0"/>
    <x v="0"/>
    <x v="0"/>
    <x v="0"/>
    <x v="0"/>
    <x v="0"/>
    <x v="1"/>
    <x v="0"/>
    <m/>
    <x v="149"/>
  </r>
  <r>
    <s v="USR-101003"/>
    <d v="2025-04-09T00:00:00"/>
    <x v="1"/>
    <x v="2"/>
    <s v="Desktop"/>
    <x v="2"/>
    <x v="1"/>
    <x v="1"/>
    <x v="1"/>
    <x v="0"/>
    <x v="0"/>
    <x v="0"/>
    <x v="0"/>
    <x v="0"/>
    <m/>
    <x v="300"/>
  </r>
  <r>
    <s v="USR-101004"/>
    <d v="2025-02-13T00:00:00"/>
    <x v="1"/>
    <x v="0"/>
    <s v="Mobile"/>
    <x v="3"/>
    <x v="0"/>
    <x v="1"/>
    <x v="1"/>
    <x v="1"/>
    <x v="0"/>
    <x v="0"/>
    <x v="2"/>
    <x v="0"/>
    <m/>
    <x v="187"/>
  </r>
  <r>
    <s v="USR-101005"/>
    <d v="2025-05-03T00:00:00"/>
    <x v="1"/>
    <x v="2"/>
    <s v="Mobile"/>
    <x v="0"/>
    <x v="1"/>
    <x v="1"/>
    <x v="1"/>
    <x v="1"/>
    <x v="0"/>
    <x v="0"/>
    <x v="0"/>
    <x v="0"/>
    <m/>
    <x v="390"/>
  </r>
  <r>
    <s v="USR-101006"/>
    <d v="2025-04-16T00:00:00"/>
    <x v="1"/>
    <x v="3"/>
    <s v="Desktop"/>
    <x v="3"/>
    <x v="2"/>
    <x v="1"/>
    <x v="0"/>
    <x v="0"/>
    <x v="0"/>
    <x v="0"/>
    <x v="0"/>
    <x v="0"/>
    <m/>
    <x v="426"/>
  </r>
  <r>
    <s v="USR-101007"/>
    <d v="2025-04-30T00:00:00"/>
    <x v="1"/>
    <x v="0"/>
    <s v="Mobile"/>
    <x v="2"/>
    <x v="2"/>
    <x v="1"/>
    <x v="0"/>
    <x v="0"/>
    <x v="0"/>
    <x v="0"/>
    <x v="0"/>
    <x v="0"/>
    <m/>
    <x v="15"/>
  </r>
  <r>
    <s v="USR-101008"/>
    <d v="2025-02-18T00:00:00"/>
    <x v="1"/>
    <x v="1"/>
    <s v="Desktop"/>
    <x v="1"/>
    <x v="1"/>
    <x v="1"/>
    <x v="0"/>
    <x v="0"/>
    <x v="0"/>
    <x v="0"/>
    <x v="0"/>
    <x v="0"/>
    <m/>
    <x v="413"/>
  </r>
  <r>
    <s v="USR-101009"/>
    <d v="2025-05-22T00:00:00"/>
    <x v="1"/>
    <x v="1"/>
    <s v="Desktop"/>
    <x v="3"/>
    <x v="0"/>
    <x v="0"/>
    <x v="0"/>
    <x v="0"/>
    <x v="0"/>
    <x v="0"/>
    <x v="0"/>
    <x v="0"/>
    <m/>
    <x v="318"/>
  </r>
  <r>
    <s v="USR-101010"/>
    <d v="2025-05-21T00:00:00"/>
    <x v="1"/>
    <x v="3"/>
    <s v="Desktop"/>
    <x v="1"/>
    <x v="1"/>
    <x v="0"/>
    <x v="0"/>
    <x v="0"/>
    <x v="0"/>
    <x v="0"/>
    <x v="0"/>
    <x v="0"/>
    <m/>
    <x v="207"/>
  </r>
  <r>
    <s v="USR-101011"/>
    <d v="2025-04-10T00:00:00"/>
    <x v="1"/>
    <x v="2"/>
    <s v="Desktop"/>
    <x v="1"/>
    <x v="1"/>
    <x v="1"/>
    <x v="0"/>
    <x v="0"/>
    <x v="0"/>
    <x v="0"/>
    <x v="1"/>
    <x v="0"/>
    <m/>
    <x v="458"/>
  </r>
  <r>
    <s v="USR-101012"/>
    <d v="2025-01-07T00:00:00"/>
    <x v="1"/>
    <x v="0"/>
    <s v="Desktop"/>
    <x v="1"/>
    <x v="2"/>
    <x v="1"/>
    <x v="1"/>
    <x v="1"/>
    <x v="1"/>
    <x v="47"/>
    <x v="1"/>
    <x v="0"/>
    <n v="9"/>
    <x v="19"/>
  </r>
  <r>
    <s v="USR-101013"/>
    <d v="2025-02-03T00:00:00"/>
    <x v="1"/>
    <x v="3"/>
    <s v="Desktop"/>
    <x v="4"/>
    <x v="1"/>
    <x v="0"/>
    <x v="0"/>
    <x v="0"/>
    <x v="0"/>
    <x v="0"/>
    <x v="0"/>
    <x v="0"/>
    <m/>
    <x v="275"/>
  </r>
  <r>
    <s v="USR-101014"/>
    <d v="2025-05-18T00:00:00"/>
    <x v="1"/>
    <x v="0"/>
    <s v="Mobile"/>
    <x v="2"/>
    <x v="1"/>
    <x v="1"/>
    <x v="0"/>
    <x v="0"/>
    <x v="0"/>
    <x v="0"/>
    <x v="0"/>
    <x v="0"/>
    <m/>
    <x v="52"/>
  </r>
  <r>
    <s v="USR-101015"/>
    <d v="2025-01-31T00:00:00"/>
    <x v="1"/>
    <x v="0"/>
    <s v="Mobile"/>
    <x v="3"/>
    <x v="1"/>
    <x v="1"/>
    <x v="0"/>
    <x v="0"/>
    <x v="0"/>
    <x v="0"/>
    <x v="0"/>
    <x v="0"/>
    <m/>
    <x v="136"/>
  </r>
  <r>
    <s v="USR-101016"/>
    <d v="2025-01-16T00:00:00"/>
    <x v="1"/>
    <x v="3"/>
    <s v="Desktop"/>
    <x v="1"/>
    <x v="0"/>
    <x v="1"/>
    <x v="0"/>
    <x v="0"/>
    <x v="0"/>
    <x v="0"/>
    <x v="0"/>
    <x v="0"/>
    <m/>
    <x v="406"/>
  </r>
  <r>
    <s v="USR-101017"/>
    <d v="2025-05-14T00:00:00"/>
    <x v="1"/>
    <x v="2"/>
    <s v="Mobile"/>
    <x v="2"/>
    <x v="0"/>
    <x v="1"/>
    <x v="1"/>
    <x v="0"/>
    <x v="0"/>
    <x v="0"/>
    <x v="1"/>
    <x v="0"/>
    <m/>
    <x v="120"/>
  </r>
  <r>
    <s v="USR-101018"/>
    <d v="2025-04-01T00:00:00"/>
    <x v="1"/>
    <x v="3"/>
    <s v="Mobile"/>
    <x v="5"/>
    <x v="0"/>
    <x v="1"/>
    <x v="0"/>
    <x v="0"/>
    <x v="0"/>
    <x v="0"/>
    <x v="0"/>
    <x v="0"/>
    <m/>
    <x v="10"/>
  </r>
  <r>
    <s v="USR-101019"/>
    <d v="2025-04-23T00:00:00"/>
    <x v="1"/>
    <x v="3"/>
    <s v="Mobile"/>
    <x v="1"/>
    <x v="1"/>
    <x v="1"/>
    <x v="0"/>
    <x v="0"/>
    <x v="0"/>
    <x v="0"/>
    <x v="0"/>
    <x v="0"/>
    <m/>
    <x v="234"/>
  </r>
  <r>
    <s v="USR-101020"/>
    <d v="2025-03-02T00:00:00"/>
    <x v="1"/>
    <x v="3"/>
    <s v="Desktop"/>
    <x v="2"/>
    <x v="0"/>
    <x v="1"/>
    <x v="0"/>
    <x v="0"/>
    <x v="0"/>
    <x v="0"/>
    <x v="0"/>
    <x v="0"/>
    <m/>
    <x v="87"/>
  </r>
  <r>
    <s v="USR-101021"/>
    <d v="2025-01-02T00:00:00"/>
    <x v="1"/>
    <x v="2"/>
    <s v="Mobile"/>
    <x v="2"/>
    <x v="0"/>
    <x v="0"/>
    <x v="0"/>
    <x v="0"/>
    <x v="0"/>
    <x v="0"/>
    <x v="0"/>
    <x v="0"/>
    <m/>
    <x v="199"/>
  </r>
  <r>
    <s v="USR-101022"/>
    <d v="2025-05-04T00:00:00"/>
    <x v="1"/>
    <x v="3"/>
    <s v="Mobile"/>
    <x v="1"/>
    <x v="1"/>
    <x v="1"/>
    <x v="0"/>
    <x v="0"/>
    <x v="0"/>
    <x v="0"/>
    <x v="0"/>
    <x v="0"/>
    <m/>
    <x v="459"/>
  </r>
  <r>
    <s v="USR-101023"/>
    <d v="2025-01-16T00:00:00"/>
    <x v="1"/>
    <x v="2"/>
    <s v="Desktop"/>
    <x v="2"/>
    <x v="0"/>
    <x v="0"/>
    <x v="0"/>
    <x v="0"/>
    <x v="0"/>
    <x v="0"/>
    <x v="0"/>
    <x v="0"/>
    <m/>
    <x v="412"/>
  </r>
  <r>
    <s v="USR-101024"/>
    <d v="2025-02-11T00:00:00"/>
    <x v="1"/>
    <x v="1"/>
    <s v="Tablet"/>
    <x v="2"/>
    <x v="2"/>
    <x v="0"/>
    <x v="0"/>
    <x v="0"/>
    <x v="0"/>
    <x v="0"/>
    <x v="0"/>
    <x v="0"/>
    <m/>
    <x v="98"/>
  </r>
  <r>
    <s v="USR-101025"/>
    <d v="2025-04-03T00:00:00"/>
    <x v="1"/>
    <x v="0"/>
    <s v="Mobile"/>
    <x v="4"/>
    <x v="2"/>
    <x v="1"/>
    <x v="1"/>
    <x v="1"/>
    <x v="1"/>
    <x v="48"/>
    <x v="0"/>
    <x v="0"/>
    <n v="4"/>
    <x v="460"/>
  </r>
  <r>
    <s v="USR-101026"/>
    <d v="2025-03-26T00:00:00"/>
    <x v="1"/>
    <x v="2"/>
    <s v="Mobile"/>
    <x v="3"/>
    <x v="1"/>
    <x v="1"/>
    <x v="0"/>
    <x v="0"/>
    <x v="0"/>
    <x v="0"/>
    <x v="0"/>
    <x v="0"/>
    <m/>
    <x v="369"/>
  </r>
  <r>
    <s v="USR-101027"/>
    <d v="2025-05-16T00:00:00"/>
    <x v="1"/>
    <x v="3"/>
    <s v="Mobile"/>
    <x v="0"/>
    <x v="2"/>
    <x v="0"/>
    <x v="0"/>
    <x v="0"/>
    <x v="0"/>
    <x v="0"/>
    <x v="0"/>
    <x v="0"/>
    <m/>
    <x v="169"/>
  </r>
  <r>
    <s v="USR-101028"/>
    <d v="2025-04-20T00:00:00"/>
    <x v="1"/>
    <x v="1"/>
    <s v="Mobile"/>
    <x v="4"/>
    <x v="1"/>
    <x v="0"/>
    <x v="0"/>
    <x v="0"/>
    <x v="0"/>
    <x v="0"/>
    <x v="1"/>
    <x v="0"/>
    <m/>
    <x v="299"/>
  </r>
  <r>
    <s v="USR-101029"/>
    <d v="2025-04-15T00:00:00"/>
    <x v="1"/>
    <x v="1"/>
    <s v="Mobile"/>
    <x v="2"/>
    <x v="1"/>
    <x v="1"/>
    <x v="0"/>
    <x v="0"/>
    <x v="0"/>
    <x v="0"/>
    <x v="2"/>
    <x v="0"/>
    <m/>
    <x v="246"/>
  </r>
  <r>
    <s v="USR-101030"/>
    <d v="2025-01-24T00:00:00"/>
    <x v="1"/>
    <x v="0"/>
    <s v="Mobile"/>
    <x v="1"/>
    <x v="2"/>
    <x v="1"/>
    <x v="1"/>
    <x v="1"/>
    <x v="0"/>
    <x v="0"/>
    <x v="0"/>
    <x v="0"/>
    <m/>
    <x v="461"/>
  </r>
  <r>
    <s v="USR-101031"/>
    <d v="2025-04-11T00:00:00"/>
    <x v="1"/>
    <x v="3"/>
    <s v="Mobile"/>
    <x v="3"/>
    <x v="0"/>
    <x v="0"/>
    <x v="0"/>
    <x v="0"/>
    <x v="0"/>
    <x v="0"/>
    <x v="0"/>
    <x v="0"/>
    <m/>
    <x v="195"/>
  </r>
  <r>
    <s v="USR-101032"/>
    <d v="2025-05-19T00:00:00"/>
    <x v="1"/>
    <x v="0"/>
    <s v="Mobile"/>
    <x v="2"/>
    <x v="1"/>
    <x v="1"/>
    <x v="0"/>
    <x v="0"/>
    <x v="0"/>
    <x v="0"/>
    <x v="0"/>
    <x v="0"/>
    <m/>
    <x v="80"/>
  </r>
  <r>
    <s v="USR-101033"/>
    <d v="2025-01-14T00:00:00"/>
    <x v="1"/>
    <x v="0"/>
    <s v="Mobile"/>
    <x v="1"/>
    <x v="0"/>
    <x v="0"/>
    <x v="0"/>
    <x v="0"/>
    <x v="0"/>
    <x v="0"/>
    <x v="0"/>
    <x v="0"/>
    <m/>
    <x v="429"/>
  </r>
  <r>
    <s v="USR-101034"/>
    <d v="2025-02-28T00:00:00"/>
    <x v="1"/>
    <x v="2"/>
    <s v="Desktop"/>
    <x v="1"/>
    <x v="0"/>
    <x v="0"/>
    <x v="0"/>
    <x v="0"/>
    <x v="0"/>
    <x v="0"/>
    <x v="0"/>
    <x v="0"/>
    <m/>
    <x v="138"/>
  </r>
  <r>
    <s v="USR-101035"/>
    <d v="2025-05-18T00:00:00"/>
    <x v="1"/>
    <x v="2"/>
    <s v="Tablet"/>
    <x v="2"/>
    <x v="0"/>
    <x v="1"/>
    <x v="0"/>
    <x v="0"/>
    <x v="0"/>
    <x v="0"/>
    <x v="0"/>
    <x v="0"/>
    <m/>
    <x v="462"/>
  </r>
  <r>
    <s v="USR-101036"/>
    <d v="2025-01-04T00:00:00"/>
    <x v="1"/>
    <x v="0"/>
    <s v="Mobile"/>
    <x v="4"/>
    <x v="1"/>
    <x v="0"/>
    <x v="0"/>
    <x v="0"/>
    <x v="0"/>
    <x v="0"/>
    <x v="0"/>
    <x v="0"/>
    <m/>
    <x v="38"/>
  </r>
  <r>
    <s v="USR-101037"/>
    <d v="2025-01-16T00:00:00"/>
    <x v="1"/>
    <x v="1"/>
    <s v="Mobile"/>
    <x v="4"/>
    <x v="2"/>
    <x v="1"/>
    <x v="0"/>
    <x v="0"/>
    <x v="0"/>
    <x v="0"/>
    <x v="0"/>
    <x v="0"/>
    <m/>
    <x v="386"/>
  </r>
  <r>
    <s v="USR-101038"/>
    <d v="2025-03-14T00:00:00"/>
    <x v="1"/>
    <x v="1"/>
    <s v="Mobile"/>
    <x v="4"/>
    <x v="2"/>
    <x v="1"/>
    <x v="0"/>
    <x v="0"/>
    <x v="0"/>
    <x v="0"/>
    <x v="3"/>
    <x v="0"/>
    <m/>
    <x v="212"/>
  </r>
  <r>
    <s v="USR-101039"/>
    <d v="2025-01-23T00:00:00"/>
    <x v="1"/>
    <x v="2"/>
    <s v="Mobile"/>
    <x v="2"/>
    <x v="0"/>
    <x v="1"/>
    <x v="0"/>
    <x v="0"/>
    <x v="0"/>
    <x v="0"/>
    <x v="1"/>
    <x v="0"/>
    <m/>
    <x v="182"/>
  </r>
  <r>
    <s v="USR-101040"/>
    <d v="2025-02-03T00:00:00"/>
    <x v="1"/>
    <x v="0"/>
    <s v="Desktop"/>
    <x v="1"/>
    <x v="0"/>
    <x v="1"/>
    <x v="0"/>
    <x v="0"/>
    <x v="0"/>
    <x v="0"/>
    <x v="0"/>
    <x v="0"/>
    <m/>
    <x v="61"/>
  </r>
  <r>
    <s v="USR-101041"/>
    <d v="2025-05-16T00:00:00"/>
    <x v="1"/>
    <x v="2"/>
    <s v="Mobile"/>
    <x v="3"/>
    <x v="1"/>
    <x v="1"/>
    <x v="0"/>
    <x v="0"/>
    <x v="0"/>
    <x v="0"/>
    <x v="0"/>
    <x v="0"/>
    <m/>
    <x v="0"/>
  </r>
  <r>
    <s v="USR-101042"/>
    <d v="2025-01-11T00:00:00"/>
    <x v="1"/>
    <x v="1"/>
    <s v="Mobile"/>
    <x v="1"/>
    <x v="0"/>
    <x v="0"/>
    <x v="0"/>
    <x v="0"/>
    <x v="0"/>
    <x v="0"/>
    <x v="1"/>
    <x v="0"/>
    <m/>
    <x v="113"/>
  </r>
  <r>
    <s v="USR-101043"/>
    <d v="2025-05-25T00:00:00"/>
    <x v="1"/>
    <x v="0"/>
    <s v="Desktop"/>
    <x v="1"/>
    <x v="1"/>
    <x v="0"/>
    <x v="0"/>
    <x v="0"/>
    <x v="0"/>
    <x v="0"/>
    <x v="2"/>
    <x v="0"/>
    <m/>
    <x v="246"/>
  </r>
  <r>
    <s v="USR-101044"/>
    <d v="2025-05-08T00:00:00"/>
    <x v="1"/>
    <x v="2"/>
    <s v="Mobile"/>
    <x v="2"/>
    <x v="2"/>
    <x v="0"/>
    <x v="0"/>
    <x v="0"/>
    <x v="0"/>
    <x v="0"/>
    <x v="0"/>
    <x v="0"/>
    <m/>
    <x v="223"/>
  </r>
  <r>
    <s v="USR-101045"/>
    <d v="2025-02-26T00:00:00"/>
    <x v="1"/>
    <x v="2"/>
    <s v="Desktop"/>
    <x v="5"/>
    <x v="0"/>
    <x v="1"/>
    <x v="0"/>
    <x v="0"/>
    <x v="0"/>
    <x v="0"/>
    <x v="0"/>
    <x v="0"/>
    <m/>
    <x v="85"/>
  </r>
  <r>
    <s v="USR-101046"/>
    <d v="2025-03-30T00:00:00"/>
    <x v="1"/>
    <x v="0"/>
    <s v="Mobile"/>
    <x v="2"/>
    <x v="1"/>
    <x v="1"/>
    <x v="0"/>
    <x v="0"/>
    <x v="0"/>
    <x v="0"/>
    <x v="0"/>
    <x v="0"/>
    <m/>
    <x v="94"/>
  </r>
  <r>
    <s v="USR-101047"/>
    <d v="2025-04-13T00:00:00"/>
    <x v="1"/>
    <x v="1"/>
    <s v="Mobile"/>
    <x v="1"/>
    <x v="0"/>
    <x v="1"/>
    <x v="0"/>
    <x v="0"/>
    <x v="0"/>
    <x v="0"/>
    <x v="0"/>
    <x v="0"/>
    <m/>
    <x v="383"/>
  </r>
  <r>
    <s v="USR-101048"/>
    <d v="2025-02-20T00:00:00"/>
    <x v="1"/>
    <x v="2"/>
    <s v="Unknown"/>
    <x v="2"/>
    <x v="0"/>
    <x v="1"/>
    <x v="0"/>
    <x v="0"/>
    <x v="0"/>
    <x v="0"/>
    <x v="0"/>
    <x v="0"/>
    <m/>
    <x v="318"/>
  </r>
  <r>
    <s v="USR-101049"/>
    <d v="2025-04-19T00:00:00"/>
    <x v="1"/>
    <x v="1"/>
    <s v="Desktop"/>
    <x v="4"/>
    <x v="1"/>
    <x v="1"/>
    <x v="0"/>
    <x v="0"/>
    <x v="0"/>
    <x v="0"/>
    <x v="0"/>
    <x v="0"/>
    <m/>
    <x v="361"/>
  </r>
  <r>
    <s v="USR-101050"/>
    <d v="2025-03-22T00:00:00"/>
    <x v="1"/>
    <x v="3"/>
    <s v="Mobile"/>
    <x v="2"/>
    <x v="1"/>
    <x v="1"/>
    <x v="1"/>
    <x v="0"/>
    <x v="0"/>
    <x v="0"/>
    <x v="1"/>
    <x v="0"/>
    <m/>
    <x v="102"/>
  </r>
  <r>
    <s v="USR-101051"/>
    <d v="2025-02-28T00:00:00"/>
    <x v="1"/>
    <x v="0"/>
    <s v="Mobile"/>
    <x v="0"/>
    <x v="0"/>
    <x v="1"/>
    <x v="1"/>
    <x v="0"/>
    <x v="0"/>
    <x v="0"/>
    <x v="0"/>
    <x v="0"/>
    <m/>
    <x v="196"/>
  </r>
  <r>
    <s v="USR-101052"/>
    <d v="2025-05-24T00:00:00"/>
    <x v="1"/>
    <x v="2"/>
    <s v="Mobile"/>
    <x v="4"/>
    <x v="1"/>
    <x v="1"/>
    <x v="1"/>
    <x v="1"/>
    <x v="0"/>
    <x v="0"/>
    <x v="0"/>
    <x v="0"/>
    <m/>
    <x v="463"/>
  </r>
  <r>
    <s v="USR-101053"/>
    <d v="2025-02-03T00:00:00"/>
    <x v="1"/>
    <x v="0"/>
    <s v="Desktop"/>
    <x v="0"/>
    <x v="1"/>
    <x v="1"/>
    <x v="1"/>
    <x v="1"/>
    <x v="1"/>
    <x v="49"/>
    <x v="0"/>
    <x v="0"/>
    <n v="14"/>
    <x v="464"/>
  </r>
  <r>
    <s v="USR-101054"/>
    <d v="2025-01-27T00:00:00"/>
    <x v="1"/>
    <x v="3"/>
    <s v="Mobile"/>
    <x v="1"/>
    <x v="1"/>
    <x v="1"/>
    <x v="0"/>
    <x v="0"/>
    <x v="0"/>
    <x v="0"/>
    <x v="1"/>
    <x v="0"/>
    <m/>
    <x v="264"/>
  </r>
  <r>
    <s v="USR-101055"/>
    <d v="2025-04-17T00:00:00"/>
    <x v="1"/>
    <x v="2"/>
    <s v="Mobile"/>
    <x v="1"/>
    <x v="1"/>
    <x v="1"/>
    <x v="0"/>
    <x v="0"/>
    <x v="0"/>
    <x v="0"/>
    <x v="0"/>
    <x v="0"/>
    <m/>
    <x v="426"/>
  </r>
  <r>
    <s v="USR-101056"/>
    <d v="2025-02-06T00:00:00"/>
    <x v="1"/>
    <x v="1"/>
    <s v="Mobile"/>
    <x v="4"/>
    <x v="1"/>
    <x v="1"/>
    <x v="1"/>
    <x v="0"/>
    <x v="0"/>
    <x v="0"/>
    <x v="0"/>
    <x v="0"/>
    <m/>
    <x v="141"/>
  </r>
  <r>
    <s v="USR-101057"/>
    <d v="2025-04-20T00:00:00"/>
    <x v="1"/>
    <x v="3"/>
    <s v="Mobile"/>
    <x v="2"/>
    <x v="1"/>
    <x v="1"/>
    <x v="0"/>
    <x v="0"/>
    <x v="0"/>
    <x v="0"/>
    <x v="0"/>
    <x v="0"/>
    <m/>
    <x v="465"/>
  </r>
  <r>
    <s v="USR-101058"/>
    <d v="2025-05-06T00:00:00"/>
    <x v="1"/>
    <x v="0"/>
    <s v="Mobile"/>
    <x v="2"/>
    <x v="0"/>
    <x v="0"/>
    <x v="0"/>
    <x v="0"/>
    <x v="0"/>
    <x v="0"/>
    <x v="0"/>
    <x v="0"/>
    <m/>
    <x v="87"/>
  </r>
  <r>
    <s v="USR-101059"/>
    <d v="2025-05-16T00:00:00"/>
    <x v="1"/>
    <x v="3"/>
    <s v="Mobile"/>
    <x v="1"/>
    <x v="1"/>
    <x v="1"/>
    <x v="0"/>
    <x v="0"/>
    <x v="0"/>
    <x v="0"/>
    <x v="0"/>
    <x v="0"/>
    <m/>
    <x v="457"/>
  </r>
  <r>
    <s v="USR-101060"/>
    <d v="2025-03-02T00:00:00"/>
    <x v="1"/>
    <x v="3"/>
    <s v="Mobile"/>
    <x v="2"/>
    <x v="2"/>
    <x v="1"/>
    <x v="1"/>
    <x v="0"/>
    <x v="0"/>
    <x v="0"/>
    <x v="1"/>
    <x v="0"/>
    <m/>
    <x v="466"/>
  </r>
  <r>
    <s v="USR-101061"/>
    <d v="2025-04-09T00:00:00"/>
    <x v="1"/>
    <x v="1"/>
    <s v="Mobile"/>
    <x v="4"/>
    <x v="1"/>
    <x v="0"/>
    <x v="0"/>
    <x v="0"/>
    <x v="0"/>
    <x v="0"/>
    <x v="0"/>
    <x v="0"/>
    <m/>
    <x v="292"/>
  </r>
  <r>
    <s v="USR-101062"/>
    <d v="2025-01-26T00:00:00"/>
    <x v="1"/>
    <x v="2"/>
    <s v="Mobile"/>
    <x v="2"/>
    <x v="1"/>
    <x v="1"/>
    <x v="1"/>
    <x v="1"/>
    <x v="1"/>
    <x v="50"/>
    <x v="2"/>
    <x v="1"/>
    <n v="1"/>
    <x v="146"/>
  </r>
  <r>
    <s v="USR-101063"/>
    <d v="2025-02-25T00:00:00"/>
    <x v="1"/>
    <x v="3"/>
    <s v="Mobile"/>
    <x v="2"/>
    <x v="0"/>
    <x v="1"/>
    <x v="1"/>
    <x v="1"/>
    <x v="0"/>
    <x v="0"/>
    <x v="0"/>
    <x v="0"/>
    <m/>
    <x v="40"/>
  </r>
  <r>
    <s v="USR-101064"/>
    <d v="2025-01-07T00:00:00"/>
    <x v="1"/>
    <x v="2"/>
    <s v="Mobile"/>
    <x v="1"/>
    <x v="2"/>
    <x v="0"/>
    <x v="0"/>
    <x v="0"/>
    <x v="0"/>
    <x v="0"/>
    <x v="0"/>
    <x v="0"/>
    <m/>
    <x v="7"/>
  </r>
  <r>
    <s v="USR-101065"/>
    <d v="2025-03-08T00:00:00"/>
    <x v="1"/>
    <x v="3"/>
    <s v="Mobile"/>
    <x v="4"/>
    <x v="0"/>
    <x v="1"/>
    <x v="1"/>
    <x v="1"/>
    <x v="0"/>
    <x v="0"/>
    <x v="0"/>
    <x v="0"/>
    <m/>
    <x v="467"/>
  </r>
  <r>
    <s v="USR-101066"/>
    <d v="2025-05-22T00:00:00"/>
    <x v="1"/>
    <x v="2"/>
    <s v="Mobile"/>
    <x v="3"/>
    <x v="1"/>
    <x v="1"/>
    <x v="0"/>
    <x v="0"/>
    <x v="0"/>
    <x v="0"/>
    <x v="1"/>
    <x v="0"/>
    <m/>
    <x v="468"/>
  </r>
  <r>
    <s v="USR-101067"/>
    <d v="2025-04-18T00:00:00"/>
    <x v="1"/>
    <x v="2"/>
    <s v="Mobile"/>
    <x v="2"/>
    <x v="2"/>
    <x v="1"/>
    <x v="0"/>
    <x v="0"/>
    <x v="0"/>
    <x v="0"/>
    <x v="0"/>
    <x v="0"/>
    <m/>
    <x v="188"/>
  </r>
  <r>
    <s v="USR-101068"/>
    <d v="2025-02-24T00:00:00"/>
    <x v="1"/>
    <x v="1"/>
    <s v="Mobile"/>
    <x v="3"/>
    <x v="0"/>
    <x v="0"/>
    <x v="0"/>
    <x v="0"/>
    <x v="0"/>
    <x v="0"/>
    <x v="1"/>
    <x v="0"/>
    <m/>
    <x v="372"/>
  </r>
  <r>
    <s v="USR-101069"/>
    <d v="2025-02-11T00:00:00"/>
    <x v="1"/>
    <x v="0"/>
    <s v="Mobile"/>
    <x v="1"/>
    <x v="1"/>
    <x v="1"/>
    <x v="1"/>
    <x v="1"/>
    <x v="0"/>
    <x v="0"/>
    <x v="0"/>
    <x v="0"/>
    <m/>
    <x v="469"/>
  </r>
  <r>
    <s v="USR-101070"/>
    <d v="2025-03-11T00:00:00"/>
    <x v="1"/>
    <x v="1"/>
    <s v="Desktop"/>
    <x v="2"/>
    <x v="1"/>
    <x v="1"/>
    <x v="0"/>
    <x v="0"/>
    <x v="0"/>
    <x v="0"/>
    <x v="2"/>
    <x v="0"/>
    <m/>
    <x v="1"/>
  </r>
  <r>
    <s v="USR-101071"/>
    <d v="2025-04-11T00:00:00"/>
    <x v="1"/>
    <x v="2"/>
    <s v="Tablet"/>
    <x v="3"/>
    <x v="1"/>
    <x v="1"/>
    <x v="1"/>
    <x v="1"/>
    <x v="0"/>
    <x v="0"/>
    <x v="0"/>
    <x v="0"/>
    <m/>
    <x v="470"/>
  </r>
  <r>
    <s v="USR-101072"/>
    <d v="2025-03-11T00:00:00"/>
    <x v="1"/>
    <x v="0"/>
    <s v="Mobile"/>
    <x v="1"/>
    <x v="1"/>
    <x v="0"/>
    <x v="0"/>
    <x v="0"/>
    <x v="0"/>
    <x v="0"/>
    <x v="0"/>
    <x v="0"/>
    <m/>
    <x v="80"/>
  </r>
  <r>
    <s v="USR-101073"/>
    <d v="2025-05-22T00:00:00"/>
    <x v="1"/>
    <x v="2"/>
    <s v="Mobile"/>
    <x v="3"/>
    <x v="1"/>
    <x v="1"/>
    <x v="0"/>
    <x v="0"/>
    <x v="0"/>
    <x v="0"/>
    <x v="1"/>
    <x v="0"/>
    <m/>
    <x v="103"/>
  </r>
  <r>
    <s v="USR-101074"/>
    <d v="2025-02-22T00:00:00"/>
    <x v="1"/>
    <x v="3"/>
    <s v="Desktop"/>
    <x v="1"/>
    <x v="1"/>
    <x v="1"/>
    <x v="1"/>
    <x v="1"/>
    <x v="1"/>
    <x v="51"/>
    <x v="2"/>
    <x v="0"/>
    <n v="4"/>
    <x v="312"/>
  </r>
  <r>
    <s v="USR-101075"/>
    <d v="2025-01-13T00:00:00"/>
    <x v="1"/>
    <x v="2"/>
    <s v="Mobile"/>
    <x v="2"/>
    <x v="0"/>
    <x v="1"/>
    <x v="0"/>
    <x v="0"/>
    <x v="0"/>
    <x v="0"/>
    <x v="0"/>
    <x v="0"/>
    <m/>
    <x v="107"/>
  </r>
  <r>
    <s v="USR-101076"/>
    <d v="2025-05-19T00:00:00"/>
    <x v="1"/>
    <x v="3"/>
    <s v="Mobile"/>
    <x v="1"/>
    <x v="1"/>
    <x v="1"/>
    <x v="0"/>
    <x v="0"/>
    <x v="0"/>
    <x v="0"/>
    <x v="0"/>
    <x v="0"/>
    <m/>
    <x v="99"/>
  </r>
  <r>
    <s v="USR-101077"/>
    <d v="2025-03-08T00:00:00"/>
    <x v="1"/>
    <x v="0"/>
    <s v="Tablet"/>
    <x v="1"/>
    <x v="0"/>
    <x v="1"/>
    <x v="1"/>
    <x v="1"/>
    <x v="1"/>
    <x v="52"/>
    <x v="0"/>
    <x v="0"/>
    <n v="3"/>
    <x v="196"/>
  </r>
  <r>
    <s v="USR-101078"/>
    <d v="2025-04-20T00:00:00"/>
    <x v="1"/>
    <x v="3"/>
    <s v="Mobile"/>
    <x v="1"/>
    <x v="1"/>
    <x v="1"/>
    <x v="1"/>
    <x v="1"/>
    <x v="1"/>
    <x v="53"/>
    <x v="0"/>
    <x v="0"/>
    <n v="8"/>
    <x v="200"/>
  </r>
  <r>
    <s v="USR-101079"/>
    <d v="2025-05-08T00:00:00"/>
    <x v="1"/>
    <x v="1"/>
    <s v="Mobile"/>
    <x v="0"/>
    <x v="0"/>
    <x v="0"/>
    <x v="0"/>
    <x v="0"/>
    <x v="0"/>
    <x v="0"/>
    <x v="1"/>
    <x v="0"/>
    <m/>
    <x v="471"/>
  </r>
  <r>
    <s v="USR-101080"/>
    <d v="2025-05-10T00:00:00"/>
    <x v="1"/>
    <x v="3"/>
    <s v="Mobile"/>
    <x v="1"/>
    <x v="0"/>
    <x v="1"/>
    <x v="0"/>
    <x v="0"/>
    <x v="0"/>
    <x v="0"/>
    <x v="0"/>
    <x v="0"/>
    <m/>
    <x v="442"/>
  </r>
  <r>
    <s v="USR-101081"/>
    <d v="2025-03-28T00:00:00"/>
    <x v="1"/>
    <x v="2"/>
    <s v="Mobile"/>
    <x v="1"/>
    <x v="1"/>
    <x v="1"/>
    <x v="0"/>
    <x v="0"/>
    <x v="0"/>
    <x v="0"/>
    <x v="0"/>
    <x v="0"/>
    <m/>
    <x v="65"/>
  </r>
  <r>
    <s v="USR-101082"/>
    <d v="2025-04-30T00:00:00"/>
    <x v="1"/>
    <x v="2"/>
    <s v="Mobile"/>
    <x v="2"/>
    <x v="2"/>
    <x v="1"/>
    <x v="1"/>
    <x v="1"/>
    <x v="0"/>
    <x v="0"/>
    <x v="0"/>
    <x v="0"/>
    <m/>
    <x v="472"/>
  </r>
  <r>
    <s v="USR-101083"/>
    <d v="2025-02-08T00:00:00"/>
    <x v="1"/>
    <x v="0"/>
    <s v="Mobile"/>
    <x v="1"/>
    <x v="0"/>
    <x v="0"/>
    <x v="0"/>
    <x v="0"/>
    <x v="0"/>
    <x v="0"/>
    <x v="1"/>
    <x v="0"/>
    <m/>
    <x v="328"/>
  </r>
  <r>
    <s v="USR-101084"/>
    <d v="2025-03-07T00:00:00"/>
    <x v="1"/>
    <x v="3"/>
    <s v="Mobile"/>
    <x v="3"/>
    <x v="2"/>
    <x v="0"/>
    <x v="0"/>
    <x v="0"/>
    <x v="0"/>
    <x v="0"/>
    <x v="0"/>
    <x v="0"/>
    <m/>
    <x v="473"/>
  </r>
  <r>
    <s v="USR-101085"/>
    <d v="2025-05-21T00:00:00"/>
    <x v="1"/>
    <x v="3"/>
    <s v="Mobile"/>
    <x v="4"/>
    <x v="0"/>
    <x v="1"/>
    <x v="1"/>
    <x v="1"/>
    <x v="0"/>
    <x v="0"/>
    <x v="1"/>
    <x v="0"/>
    <m/>
    <x v="419"/>
  </r>
  <r>
    <s v="USR-101086"/>
    <d v="2025-04-12T00:00:00"/>
    <x v="1"/>
    <x v="3"/>
    <s v="Mobile"/>
    <x v="4"/>
    <x v="1"/>
    <x v="1"/>
    <x v="1"/>
    <x v="1"/>
    <x v="0"/>
    <x v="0"/>
    <x v="0"/>
    <x v="0"/>
    <m/>
    <x v="354"/>
  </r>
  <r>
    <s v="USR-101087"/>
    <d v="2025-02-02T00:00:00"/>
    <x v="1"/>
    <x v="3"/>
    <s v="Mobile"/>
    <x v="2"/>
    <x v="1"/>
    <x v="1"/>
    <x v="0"/>
    <x v="0"/>
    <x v="0"/>
    <x v="0"/>
    <x v="0"/>
    <x v="0"/>
    <m/>
    <x v="202"/>
  </r>
  <r>
    <s v="USR-101088"/>
    <d v="2025-04-22T00:00:00"/>
    <x v="1"/>
    <x v="0"/>
    <s v="Tablet"/>
    <x v="3"/>
    <x v="1"/>
    <x v="1"/>
    <x v="1"/>
    <x v="1"/>
    <x v="0"/>
    <x v="0"/>
    <x v="1"/>
    <x v="0"/>
    <m/>
    <x v="474"/>
  </r>
  <r>
    <s v="USR-101089"/>
    <d v="2025-02-08T00:00:00"/>
    <x v="1"/>
    <x v="0"/>
    <s v="Mobile"/>
    <x v="4"/>
    <x v="0"/>
    <x v="1"/>
    <x v="0"/>
    <x v="0"/>
    <x v="0"/>
    <x v="0"/>
    <x v="0"/>
    <x v="0"/>
    <m/>
    <x v="208"/>
  </r>
  <r>
    <s v="USR-101090"/>
    <d v="2025-01-24T00:00:00"/>
    <x v="1"/>
    <x v="3"/>
    <s v="Desktop"/>
    <x v="0"/>
    <x v="1"/>
    <x v="1"/>
    <x v="0"/>
    <x v="0"/>
    <x v="0"/>
    <x v="0"/>
    <x v="0"/>
    <x v="0"/>
    <m/>
    <x v="325"/>
  </r>
  <r>
    <s v="USR-101091"/>
    <d v="2025-05-12T00:00:00"/>
    <x v="1"/>
    <x v="3"/>
    <s v="Mobile"/>
    <x v="2"/>
    <x v="0"/>
    <x v="0"/>
    <x v="0"/>
    <x v="0"/>
    <x v="0"/>
    <x v="0"/>
    <x v="1"/>
    <x v="0"/>
    <m/>
    <x v="385"/>
  </r>
  <r>
    <s v="USR-101092"/>
    <d v="2025-03-30T00:00:00"/>
    <x v="1"/>
    <x v="0"/>
    <s v="Mobile"/>
    <x v="1"/>
    <x v="0"/>
    <x v="0"/>
    <x v="0"/>
    <x v="0"/>
    <x v="0"/>
    <x v="0"/>
    <x v="0"/>
    <x v="0"/>
    <m/>
    <x v="475"/>
  </r>
  <r>
    <s v="USR-101093"/>
    <d v="2025-01-02T00:00:00"/>
    <x v="1"/>
    <x v="3"/>
    <s v="Desktop"/>
    <x v="2"/>
    <x v="0"/>
    <x v="1"/>
    <x v="0"/>
    <x v="0"/>
    <x v="0"/>
    <x v="0"/>
    <x v="0"/>
    <x v="0"/>
    <m/>
    <x v="259"/>
  </r>
  <r>
    <s v="USR-101094"/>
    <d v="2025-03-21T00:00:00"/>
    <x v="1"/>
    <x v="3"/>
    <s v="Tablet"/>
    <x v="0"/>
    <x v="0"/>
    <x v="0"/>
    <x v="0"/>
    <x v="0"/>
    <x v="0"/>
    <x v="0"/>
    <x v="0"/>
    <x v="0"/>
    <m/>
    <x v="66"/>
  </r>
  <r>
    <s v="USR-101095"/>
    <d v="2025-01-25T00:00:00"/>
    <x v="1"/>
    <x v="1"/>
    <s v="Mobile"/>
    <x v="1"/>
    <x v="1"/>
    <x v="1"/>
    <x v="1"/>
    <x v="1"/>
    <x v="0"/>
    <x v="0"/>
    <x v="1"/>
    <x v="0"/>
    <m/>
    <x v="142"/>
  </r>
  <r>
    <s v="USR-101096"/>
    <d v="2025-01-12T00:00:00"/>
    <x v="1"/>
    <x v="3"/>
    <s v="Tablet"/>
    <x v="4"/>
    <x v="1"/>
    <x v="1"/>
    <x v="1"/>
    <x v="1"/>
    <x v="0"/>
    <x v="0"/>
    <x v="0"/>
    <x v="0"/>
    <m/>
    <x v="62"/>
  </r>
  <r>
    <s v="USR-101097"/>
    <d v="2025-03-18T00:00:00"/>
    <x v="1"/>
    <x v="2"/>
    <s v="Desktop"/>
    <x v="3"/>
    <x v="1"/>
    <x v="1"/>
    <x v="0"/>
    <x v="0"/>
    <x v="0"/>
    <x v="0"/>
    <x v="0"/>
    <x v="0"/>
    <m/>
    <x v="465"/>
  </r>
  <r>
    <s v="USR-101098"/>
    <d v="2025-03-26T00:00:00"/>
    <x v="1"/>
    <x v="2"/>
    <s v="Mobile"/>
    <x v="2"/>
    <x v="0"/>
    <x v="1"/>
    <x v="0"/>
    <x v="0"/>
    <x v="0"/>
    <x v="0"/>
    <x v="0"/>
    <x v="0"/>
    <m/>
    <x v="92"/>
  </r>
  <r>
    <s v="USR-101099"/>
    <d v="2025-04-19T00:00:00"/>
    <x v="1"/>
    <x v="0"/>
    <s v="Mobile"/>
    <x v="2"/>
    <x v="0"/>
    <x v="1"/>
    <x v="0"/>
    <x v="0"/>
    <x v="0"/>
    <x v="0"/>
    <x v="0"/>
    <x v="0"/>
    <m/>
    <x v="103"/>
  </r>
  <r>
    <s v="USR-101100"/>
    <d v="2025-04-17T00:00:00"/>
    <x v="1"/>
    <x v="2"/>
    <s v="Mobile"/>
    <x v="1"/>
    <x v="2"/>
    <x v="1"/>
    <x v="1"/>
    <x v="1"/>
    <x v="0"/>
    <x v="0"/>
    <x v="1"/>
    <x v="0"/>
    <m/>
    <x v="193"/>
  </r>
  <r>
    <s v="USR-101101"/>
    <d v="2025-05-26T00:00:00"/>
    <x v="1"/>
    <x v="3"/>
    <s v="Mobile"/>
    <x v="2"/>
    <x v="1"/>
    <x v="1"/>
    <x v="0"/>
    <x v="0"/>
    <x v="0"/>
    <x v="0"/>
    <x v="0"/>
    <x v="0"/>
    <m/>
    <x v="476"/>
  </r>
  <r>
    <s v="USR-101102"/>
    <d v="2025-04-14T00:00:00"/>
    <x v="1"/>
    <x v="0"/>
    <s v="Mobile"/>
    <x v="4"/>
    <x v="2"/>
    <x v="1"/>
    <x v="1"/>
    <x v="1"/>
    <x v="0"/>
    <x v="0"/>
    <x v="0"/>
    <x v="0"/>
    <m/>
    <x v="182"/>
  </r>
  <r>
    <s v="USR-101103"/>
    <d v="2025-01-23T00:00:00"/>
    <x v="1"/>
    <x v="3"/>
    <s v="Mobile"/>
    <x v="1"/>
    <x v="0"/>
    <x v="1"/>
    <x v="1"/>
    <x v="0"/>
    <x v="0"/>
    <x v="0"/>
    <x v="0"/>
    <x v="0"/>
    <m/>
    <x v="264"/>
  </r>
  <r>
    <s v="USR-101104"/>
    <d v="2025-01-06T00:00:00"/>
    <x v="1"/>
    <x v="2"/>
    <s v="Mobile"/>
    <x v="3"/>
    <x v="1"/>
    <x v="0"/>
    <x v="0"/>
    <x v="0"/>
    <x v="0"/>
    <x v="0"/>
    <x v="0"/>
    <x v="0"/>
    <m/>
    <x v="477"/>
  </r>
  <r>
    <s v="USR-101105"/>
    <d v="2025-05-31T00:00:00"/>
    <x v="1"/>
    <x v="1"/>
    <s v="Mobile"/>
    <x v="0"/>
    <x v="0"/>
    <x v="1"/>
    <x v="0"/>
    <x v="0"/>
    <x v="0"/>
    <x v="0"/>
    <x v="0"/>
    <x v="0"/>
    <m/>
    <x v="220"/>
  </r>
  <r>
    <s v="USR-101106"/>
    <d v="2025-05-19T00:00:00"/>
    <x v="1"/>
    <x v="0"/>
    <s v="Mobile"/>
    <x v="1"/>
    <x v="0"/>
    <x v="1"/>
    <x v="1"/>
    <x v="1"/>
    <x v="0"/>
    <x v="0"/>
    <x v="0"/>
    <x v="0"/>
    <m/>
    <x v="478"/>
  </r>
  <r>
    <s v="USR-101107"/>
    <d v="2025-02-25T00:00:00"/>
    <x v="1"/>
    <x v="0"/>
    <s v="Mobile"/>
    <x v="1"/>
    <x v="1"/>
    <x v="0"/>
    <x v="0"/>
    <x v="0"/>
    <x v="0"/>
    <x v="0"/>
    <x v="1"/>
    <x v="0"/>
    <m/>
    <x v="370"/>
  </r>
  <r>
    <s v="USR-101108"/>
    <d v="2025-01-10T00:00:00"/>
    <x v="1"/>
    <x v="3"/>
    <s v="Tablet"/>
    <x v="1"/>
    <x v="0"/>
    <x v="1"/>
    <x v="0"/>
    <x v="0"/>
    <x v="0"/>
    <x v="0"/>
    <x v="0"/>
    <x v="0"/>
    <m/>
    <x v="239"/>
  </r>
  <r>
    <s v="USR-101109"/>
    <d v="2025-05-13T00:00:00"/>
    <x v="1"/>
    <x v="0"/>
    <s v="Tablet"/>
    <x v="2"/>
    <x v="1"/>
    <x v="0"/>
    <x v="0"/>
    <x v="0"/>
    <x v="0"/>
    <x v="0"/>
    <x v="0"/>
    <x v="0"/>
    <m/>
    <x v="30"/>
  </r>
  <r>
    <s v="USR-101110"/>
    <d v="2025-04-27T00:00:00"/>
    <x v="1"/>
    <x v="1"/>
    <s v="Desktop"/>
    <x v="1"/>
    <x v="2"/>
    <x v="1"/>
    <x v="0"/>
    <x v="0"/>
    <x v="0"/>
    <x v="0"/>
    <x v="0"/>
    <x v="0"/>
    <m/>
    <x v="226"/>
  </r>
  <r>
    <s v="USR-101111"/>
    <d v="2025-04-03T00:00:00"/>
    <x v="1"/>
    <x v="3"/>
    <s v="Mobile"/>
    <x v="1"/>
    <x v="1"/>
    <x v="1"/>
    <x v="0"/>
    <x v="0"/>
    <x v="0"/>
    <x v="0"/>
    <x v="1"/>
    <x v="0"/>
    <m/>
    <x v="229"/>
  </r>
  <r>
    <s v="USR-101112"/>
    <d v="2025-03-26T00:00:00"/>
    <x v="1"/>
    <x v="3"/>
    <s v="Mobile"/>
    <x v="1"/>
    <x v="1"/>
    <x v="1"/>
    <x v="1"/>
    <x v="1"/>
    <x v="0"/>
    <x v="0"/>
    <x v="1"/>
    <x v="0"/>
    <m/>
    <x v="288"/>
  </r>
  <r>
    <s v="USR-101113"/>
    <d v="2025-01-31T00:00:00"/>
    <x v="1"/>
    <x v="3"/>
    <s v="Mobile"/>
    <x v="1"/>
    <x v="0"/>
    <x v="1"/>
    <x v="1"/>
    <x v="1"/>
    <x v="0"/>
    <x v="0"/>
    <x v="2"/>
    <x v="0"/>
    <m/>
    <x v="118"/>
  </r>
  <r>
    <s v="USR-101114"/>
    <d v="2025-01-25T00:00:00"/>
    <x v="1"/>
    <x v="3"/>
    <s v="Mobile"/>
    <x v="4"/>
    <x v="1"/>
    <x v="1"/>
    <x v="1"/>
    <x v="1"/>
    <x v="1"/>
    <x v="54"/>
    <x v="1"/>
    <x v="0"/>
    <n v="11"/>
    <x v="176"/>
  </r>
  <r>
    <s v="USR-101115"/>
    <d v="2025-02-06T00:00:00"/>
    <x v="1"/>
    <x v="1"/>
    <s v="Mobile"/>
    <x v="3"/>
    <x v="0"/>
    <x v="1"/>
    <x v="0"/>
    <x v="0"/>
    <x v="0"/>
    <x v="0"/>
    <x v="0"/>
    <x v="0"/>
    <m/>
    <x v="106"/>
  </r>
  <r>
    <s v="USR-101116"/>
    <d v="2025-03-10T00:00:00"/>
    <x v="1"/>
    <x v="2"/>
    <s v="Mobile"/>
    <x v="2"/>
    <x v="1"/>
    <x v="1"/>
    <x v="1"/>
    <x v="0"/>
    <x v="0"/>
    <x v="0"/>
    <x v="0"/>
    <x v="0"/>
    <m/>
    <x v="38"/>
  </r>
  <r>
    <s v="USR-101117"/>
    <d v="2025-01-26T00:00:00"/>
    <x v="1"/>
    <x v="1"/>
    <s v="Mobile"/>
    <x v="1"/>
    <x v="0"/>
    <x v="1"/>
    <x v="1"/>
    <x v="1"/>
    <x v="0"/>
    <x v="0"/>
    <x v="3"/>
    <x v="0"/>
    <m/>
    <x v="479"/>
  </r>
  <r>
    <s v="USR-101118"/>
    <d v="2025-01-01T00:00:00"/>
    <x v="1"/>
    <x v="2"/>
    <s v="Mobile"/>
    <x v="2"/>
    <x v="1"/>
    <x v="1"/>
    <x v="1"/>
    <x v="0"/>
    <x v="0"/>
    <x v="0"/>
    <x v="0"/>
    <x v="0"/>
    <m/>
    <x v="480"/>
  </r>
  <r>
    <s v="USR-101119"/>
    <d v="2025-04-28T00:00:00"/>
    <x v="1"/>
    <x v="0"/>
    <s v="Desktop"/>
    <x v="4"/>
    <x v="0"/>
    <x v="1"/>
    <x v="0"/>
    <x v="0"/>
    <x v="0"/>
    <x v="0"/>
    <x v="0"/>
    <x v="0"/>
    <m/>
    <x v="46"/>
  </r>
  <r>
    <s v="USR-101120"/>
    <d v="2025-04-04T00:00:00"/>
    <x v="1"/>
    <x v="0"/>
    <s v="Mobile"/>
    <x v="1"/>
    <x v="2"/>
    <x v="1"/>
    <x v="0"/>
    <x v="0"/>
    <x v="0"/>
    <x v="0"/>
    <x v="0"/>
    <x v="0"/>
    <m/>
    <x v="239"/>
  </r>
  <r>
    <s v="USR-101121"/>
    <d v="2025-03-02T00:00:00"/>
    <x v="1"/>
    <x v="2"/>
    <s v="Mobile"/>
    <x v="2"/>
    <x v="1"/>
    <x v="1"/>
    <x v="0"/>
    <x v="0"/>
    <x v="0"/>
    <x v="0"/>
    <x v="0"/>
    <x v="0"/>
    <m/>
    <x v="30"/>
  </r>
  <r>
    <s v="USR-101122"/>
    <d v="2025-03-19T00:00:00"/>
    <x v="1"/>
    <x v="3"/>
    <s v="Tablet"/>
    <x v="1"/>
    <x v="0"/>
    <x v="1"/>
    <x v="0"/>
    <x v="0"/>
    <x v="0"/>
    <x v="0"/>
    <x v="0"/>
    <x v="0"/>
    <m/>
    <x v="140"/>
  </r>
  <r>
    <s v="USR-101123"/>
    <d v="2025-01-20T00:00:00"/>
    <x v="1"/>
    <x v="3"/>
    <s v="Desktop"/>
    <x v="1"/>
    <x v="0"/>
    <x v="0"/>
    <x v="0"/>
    <x v="0"/>
    <x v="0"/>
    <x v="0"/>
    <x v="0"/>
    <x v="0"/>
    <m/>
    <x v="426"/>
  </r>
  <r>
    <s v="USR-101124"/>
    <d v="2025-04-03T00:00:00"/>
    <x v="1"/>
    <x v="2"/>
    <s v="Mobile"/>
    <x v="2"/>
    <x v="1"/>
    <x v="1"/>
    <x v="1"/>
    <x v="0"/>
    <x v="0"/>
    <x v="0"/>
    <x v="0"/>
    <x v="0"/>
    <m/>
    <x v="481"/>
  </r>
  <r>
    <s v="USR-101125"/>
    <d v="2025-01-11T00:00:00"/>
    <x v="1"/>
    <x v="2"/>
    <s v="Desktop"/>
    <x v="4"/>
    <x v="1"/>
    <x v="1"/>
    <x v="1"/>
    <x v="1"/>
    <x v="0"/>
    <x v="0"/>
    <x v="3"/>
    <x v="0"/>
    <m/>
    <x v="171"/>
  </r>
  <r>
    <s v="USR-101126"/>
    <d v="2025-02-02T00:00:00"/>
    <x v="1"/>
    <x v="1"/>
    <s v="Desktop"/>
    <x v="4"/>
    <x v="0"/>
    <x v="1"/>
    <x v="0"/>
    <x v="0"/>
    <x v="0"/>
    <x v="0"/>
    <x v="0"/>
    <x v="0"/>
    <m/>
    <x v="482"/>
  </r>
  <r>
    <s v="USR-101127"/>
    <d v="2025-04-01T00:00:00"/>
    <x v="1"/>
    <x v="3"/>
    <s v="Mobile"/>
    <x v="1"/>
    <x v="0"/>
    <x v="1"/>
    <x v="0"/>
    <x v="0"/>
    <x v="0"/>
    <x v="0"/>
    <x v="0"/>
    <x v="0"/>
    <m/>
    <x v="245"/>
  </r>
  <r>
    <s v="USR-101128"/>
    <d v="2025-05-22T00:00:00"/>
    <x v="1"/>
    <x v="2"/>
    <s v="Mobile"/>
    <x v="1"/>
    <x v="0"/>
    <x v="1"/>
    <x v="0"/>
    <x v="0"/>
    <x v="0"/>
    <x v="0"/>
    <x v="0"/>
    <x v="0"/>
    <m/>
    <x v="38"/>
  </r>
  <r>
    <s v="USR-101129"/>
    <d v="2025-02-20T00:00:00"/>
    <x v="1"/>
    <x v="1"/>
    <s v="Mobile"/>
    <x v="1"/>
    <x v="0"/>
    <x v="0"/>
    <x v="0"/>
    <x v="0"/>
    <x v="0"/>
    <x v="0"/>
    <x v="0"/>
    <x v="0"/>
    <m/>
    <x v="380"/>
  </r>
  <r>
    <s v="USR-101130"/>
    <d v="2025-03-21T00:00:00"/>
    <x v="1"/>
    <x v="1"/>
    <s v="Mobile"/>
    <x v="1"/>
    <x v="1"/>
    <x v="1"/>
    <x v="0"/>
    <x v="0"/>
    <x v="0"/>
    <x v="0"/>
    <x v="0"/>
    <x v="0"/>
    <m/>
    <x v="87"/>
  </r>
  <r>
    <s v="USR-101131"/>
    <d v="2025-05-01T00:00:00"/>
    <x v="1"/>
    <x v="1"/>
    <s v="Desktop"/>
    <x v="3"/>
    <x v="1"/>
    <x v="1"/>
    <x v="1"/>
    <x v="1"/>
    <x v="0"/>
    <x v="0"/>
    <x v="3"/>
    <x v="0"/>
    <m/>
    <x v="469"/>
  </r>
  <r>
    <s v="USR-101132"/>
    <d v="2025-01-06T00:00:00"/>
    <x v="1"/>
    <x v="1"/>
    <s v="Mobile"/>
    <x v="2"/>
    <x v="0"/>
    <x v="0"/>
    <x v="0"/>
    <x v="0"/>
    <x v="0"/>
    <x v="0"/>
    <x v="0"/>
    <x v="0"/>
    <m/>
    <x v="483"/>
  </r>
  <r>
    <s v="USR-101133"/>
    <d v="2025-04-12T00:00:00"/>
    <x v="1"/>
    <x v="0"/>
    <s v="Desktop"/>
    <x v="2"/>
    <x v="2"/>
    <x v="1"/>
    <x v="0"/>
    <x v="0"/>
    <x v="0"/>
    <x v="0"/>
    <x v="3"/>
    <x v="0"/>
    <m/>
    <x v="3"/>
  </r>
  <r>
    <s v="USR-101134"/>
    <d v="2025-04-18T00:00:00"/>
    <x v="1"/>
    <x v="0"/>
    <s v="Mobile"/>
    <x v="5"/>
    <x v="0"/>
    <x v="1"/>
    <x v="0"/>
    <x v="0"/>
    <x v="0"/>
    <x v="0"/>
    <x v="0"/>
    <x v="0"/>
    <m/>
    <x v="124"/>
  </r>
  <r>
    <s v="USR-101135"/>
    <d v="2025-03-24T00:00:00"/>
    <x v="1"/>
    <x v="2"/>
    <s v="Mobile"/>
    <x v="4"/>
    <x v="0"/>
    <x v="1"/>
    <x v="0"/>
    <x v="0"/>
    <x v="0"/>
    <x v="0"/>
    <x v="0"/>
    <x v="0"/>
    <m/>
    <x v="355"/>
  </r>
  <r>
    <s v="USR-101136"/>
    <d v="2025-03-18T00:00:00"/>
    <x v="1"/>
    <x v="2"/>
    <s v="Desktop"/>
    <x v="0"/>
    <x v="2"/>
    <x v="1"/>
    <x v="0"/>
    <x v="0"/>
    <x v="0"/>
    <x v="0"/>
    <x v="2"/>
    <x v="0"/>
    <m/>
    <x v="484"/>
  </r>
  <r>
    <s v="USR-101137"/>
    <d v="2025-04-30T00:00:00"/>
    <x v="1"/>
    <x v="3"/>
    <s v="Tablet"/>
    <x v="2"/>
    <x v="0"/>
    <x v="1"/>
    <x v="1"/>
    <x v="0"/>
    <x v="0"/>
    <x v="0"/>
    <x v="0"/>
    <x v="0"/>
    <m/>
    <x v="91"/>
  </r>
  <r>
    <s v="USR-101138"/>
    <d v="2025-01-25T00:00:00"/>
    <x v="1"/>
    <x v="1"/>
    <s v="Mobile"/>
    <x v="0"/>
    <x v="1"/>
    <x v="1"/>
    <x v="1"/>
    <x v="0"/>
    <x v="0"/>
    <x v="0"/>
    <x v="0"/>
    <x v="0"/>
    <m/>
    <x v="405"/>
  </r>
  <r>
    <s v="USR-101139"/>
    <d v="2025-04-10T00:00:00"/>
    <x v="1"/>
    <x v="3"/>
    <s v="Mobile"/>
    <x v="1"/>
    <x v="1"/>
    <x v="1"/>
    <x v="0"/>
    <x v="0"/>
    <x v="0"/>
    <x v="0"/>
    <x v="0"/>
    <x v="0"/>
    <m/>
    <x v="117"/>
  </r>
  <r>
    <s v="USR-101140"/>
    <d v="2025-01-10T00:00:00"/>
    <x v="1"/>
    <x v="1"/>
    <s v="Mobile"/>
    <x v="4"/>
    <x v="1"/>
    <x v="1"/>
    <x v="0"/>
    <x v="0"/>
    <x v="0"/>
    <x v="0"/>
    <x v="0"/>
    <x v="0"/>
    <m/>
    <x v="215"/>
  </r>
  <r>
    <s v="USR-101141"/>
    <d v="2025-02-11T00:00:00"/>
    <x v="1"/>
    <x v="3"/>
    <s v="Mobile"/>
    <x v="2"/>
    <x v="1"/>
    <x v="1"/>
    <x v="0"/>
    <x v="0"/>
    <x v="0"/>
    <x v="0"/>
    <x v="0"/>
    <x v="0"/>
    <m/>
    <x v="200"/>
  </r>
  <r>
    <s v="USR-101142"/>
    <d v="2025-05-01T00:00:00"/>
    <x v="1"/>
    <x v="2"/>
    <s v="Mobile"/>
    <x v="4"/>
    <x v="0"/>
    <x v="1"/>
    <x v="1"/>
    <x v="1"/>
    <x v="1"/>
    <x v="55"/>
    <x v="3"/>
    <x v="0"/>
    <n v="7"/>
    <x v="447"/>
  </r>
  <r>
    <s v="USR-101143"/>
    <d v="2025-01-18T00:00:00"/>
    <x v="1"/>
    <x v="2"/>
    <s v="Mobile"/>
    <x v="1"/>
    <x v="1"/>
    <x v="1"/>
    <x v="0"/>
    <x v="0"/>
    <x v="0"/>
    <x v="0"/>
    <x v="0"/>
    <x v="0"/>
    <m/>
    <x v="352"/>
  </r>
  <r>
    <s v="USR-101144"/>
    <d v="2025-01-02T00:00:00"/>
    <x v="1"/>
    <x v="0"/>
    <s v="Mobile"/>
    <x v="2"/>
    <x v="1"/>
    <x v="0"/>
    <x v="0"/>
    <x v="0"/>
    <x v="0"/>
    <x v="0"/>
    <x v="0"/>
    <x v="0"/>
    <m/>
    <x v="14"/>
  </r>
  <r>
    <s v="USR-101145"/>
    <d v="2025-05-11T00:00:00"/>
    <x v="1"/>
    <x v="1"/>
    <s v="Mobile"/>
    <x v="1"/>
    <x v="1"/>
    <x v="1"/>
    <x v="1"/>
    <x v="1"/>
    <x v="1"/>
    <x v="56"/>
    <x v="0"/>
    <x v="0"/>
    <n v="4"/>
    <x v="115"/>
  </r>
  <r>
    <s v="USR-101146"/>
    <d v="2025-03-22T00:00:00"/>
    <x v="1"/>
    <x v="0"/>
    <s v="Mobile"/>
    <x v="3"/>
    <x v="1"/>
    <x v="1"/>
    <x v="1"/>
    <x v="1"/>
    <x v="0"/>
    <x v="0"/>
    <x v="0"/>
    <x v="0"/>
    <m/>
    <x v="470"/>
  </r>
  <r>
    <s v="USR-101147"/>
    <d v="2025-05-02T00:00:00"/>
    <x v="1"/>
    <x v="3"/>
    <s v="Mobile"/>
    <x v="4"/>
    <x v="2"/>
    <x v="1"/>
    <x v="1"/>
    <x v="1"/>
    <x v="1"/>
    <x v="57"/>
    <x v="0"/>
    <x v="0"/>
    <n v="8"/>
    <x v="424"/>
  </r>
  <r>
    <s v="USR-101148"/>
    <d v="2025-05-26T00:00:00"/>
    <x v="1"/>
    <x v="2"/>
    <s v="Desktop"/>
    <x v="5"/>
    <x v="0"/>
    <x v="1"/>
    <x v="0"/>
    <x v="0"/>
    <x v="0"/>
    <x v="0"/>
    <x v="0"/>
    <x v="0"/>
    <m/>
    <x v="485"/>
  </r>
  <r>
    <s v="USR-101149"/>
    <d v="2025-03-13T00:00:00"/>
    <x v="1"/>
    <x v="3"/>
    <s v="Mobile"/>
    <x v="1"/>
    <x v="0"/>
    <x v="1"/>
    <x v="0"/>
    <x v="0"/>
    <x v="0"/>
    <x v="0"/>
    <x v="1"/>
    <x v="0"/>
    <m/>
    <x v="306"/>
  </r>
  <r>
    <s v="USR-101150"/>
    <d v="2025-05-17T00:00:00"/>
    <x v="1"/>
    <x v="3"/>
    <s v="Desktop"/>
    <x v="2"/>
    <x v="1"/>
    <x v="1"/>
    <x v="1"/>
    <x v="0"/>
    <x v="0"/>
    <x v="0"/>
    <x v="0"/>
    <x v="0"/>
    <m/>
    <x v="269"/>
  </r>
  <r>
    <s v="USR-101151"/>
    <d v="2025-03-13T00:00:00"/>
    <x v="1"/>
    <x v="0"/>
    <s v="Desktop"/>
    <x v="3"/>
    <x v="2"/>
    <x v="1"/>
    <x v="0"/>
    <x v="0"/>
    <x v="0"/>
    <x v="0"/>
    <x v="0"/>
    <x v="0"/>
    <m/>
    <x v="121"/>
  </r>
  <r>
    <s v="USR-101152"/>
    <d v="2025-02-11T00:00:00"/>
    <x v="1"/>
    <x v="2"/>
    <s v="Desktop"/>
    <x v="1"/>
    <x v="0"/>
    <x v="1"/>
    <x v="0"/>
    <x v="0"/>
    <x v="0"/>
    <x v="0"/>
    <x v="1"/>
    <x v="0"/>
    <m/>
    <x v="257"/>
  </r>
  <r>
    <s v="USR-101153"/>
    <d v="2025-03-01T00:00:00"/>
    <x v="1"/>
    <x v="1"/>
    <s v="Mobile"/>
    <x v="4"/>
    <x v="1"/>
    <x v="0"/>
    <x v="0"/>
    <x v="0"/>
    <x v="0"/>
    <x v="0"/>
    <x v="0"/>
    <x v="0"/>
    <m/>
    <x v="83"/>
  </r>
  <r>
    <s v="USR-101154"/>
    <d v="2025-04-15T00:00:00"/>
    <x v="1"/>
    <x v="1"/>
    <s v="Mobile"/>
    <x v="1"/>
    <x v="0"/>
    <x v="0"/>
    <x v="0"/>
    <x v="0"/>
    <x v="0"/>
    <x v="0"/>
    <x v="0"/>
    <x v="0"/>
    <m/>
    <x v="175"/>
  </r>
  <r>
    <s v="USR-101155"/>
    <d v="2025-02-02T00:00:00"/>
    <x v="1"/>
    <x v="2"/>
    <s v="Mobile"/>
    <x v="1"/>
    <x v="2"/>
    <x v="1"/>
    <x v="0"/>
    <x v="0"/>
    <x v="0"/>
    <x v="0"/>
    <x v="0"/>
    <x v="0"/>
    <m/>
    <x v="308"/>
  </r>
  <r>
    <s v="USR-101156"/>
    <d v="2025-05-19T00:00:00"/>
    <x v="1"/>
    <x v="3"/>
    <s v="Mobile"/>
    <x v="0"/>
    <x v="1"/>
    <x v="1"/>
    <x v="0"/>
    <x v="0"/>
    <x v="0"/>
    <x v="0"/>
    <x v="0"/>
    <x v="0"/>
    <m/>
    <x v="210"/>
  </r>
  <r>
    <s v="USR-101157"/>
    <d v="2025-01-05T00:00:00"/>
    <x v="1"/>
    <x v="1"/>
    <s v="Mobile"/>
    <x v="3"/>
    <x v="1"/>
    <x v="0"/>
    <x v="0"/>
    <x v="0"/>
    <x v="0"/>
    <x v="0"/>
    <x v="0"/>
    <x v="0"/>
    <m/>
    <x v="84"/>
  </r>
  <r>
    <s v="USR-101158"/>
    <d v="2025-03-08T00:00:00"/>
    <x v="1"/>
    <x v="3"/>
    <s v="Mobile"/>
    <x v="2"/>
    <x v="1"/>
    <x v="1"/>
    <x v="1"/>
    <x v="0"/>
    <x v="0"/>
    <x v="0"/>
    <x v="0"/>
    <x v="0"/>
    <m/>
    <x v="486"/>
  </r>
  <r>
    <s v="USR-101159"/>
    <d v="2025-03-12T00:00:00"/>
    <x v="1"/>
    <x v="1"/>
    <s v="Mobile"/>
    <x v="0"/>
    <x v="0"/>
    <x v="1"/>
    <x v="0"/>
    <x v="0"/>
    <x v="0"/>
    <x v="0"/>
    <x v="1"/>
    <x v="0"/>
    <m/>
    <x v="31"/>
  </r>
  <r>
    <s v="USR-101160"/>
    <d v="2025-01-24T00:00:00"/>
    <x v="1"/>
    <x v="1"/>
    <s v="Mobile"/>
    <x v="1"/>
    <x v="1"/>
    <x v="0"/>
    <x v="0"/>
    <x v="0"/>
    <x v="0"/>
    <x v="0"/>
    <x v="0"/>
    <x v="0"/>
    <m/>
    <x v="436"/>
  </r>
  <r>
    <s v="USR-101161"/>
    <d v="2025-05-22T00:00:00"/>
    <x v="1"/>
    <x v="3"/>
    <s v="Mobile"/>
    <x v="2"/>
    <x v="0"/>
    <x v="1"/>
    <x v="1"/>
    <x v="1"/>
    <x v="0"/>
    <x v="0"/>
    <x v="0"/>
    <x v="0"/>
    <m/>
    <x v="326"/>
  </r>
  <r>
    <s v="USR-101162"/>
    <d v="2025-03-27T00:00:00"/>
    <x v="1"/>
    <x v="3"/>
    <s v="Mobile"/>
    <x v="2"/>
    <x v="1"/>
    <x v="1"/>
    <x v="0"/>
    <x v="0"/>
    <x v="0"/>
    <x v="0"/>
    <x v="0"/>
    <x v="0"/>
    <m/>
    <x v="174"/>
  </r>
  <r>
    <s v="USR-101163"/>
    <d v="2025-01-02T00:00:00"/>
    <x v="1"/>
    <x v="1"/>
    <s v="Mobile"/>
    <x v="4"/>
    <x v="1"/>
    <x v="0"/>
    <x v="0"/>
    <x v="0"/>
    <x v="0"/>
    <x v="0"/>
    <x v="1"/>
    <x v="0"/>
    <m/>
    <x v="415"/>
  </r>
  <r>
    <s v="USR-101164"/>
    <d v="2025-02-24T00:00:00"/>
    <x v="1"/>
    <x v="0"/>
    <s v="Mobile"/>
    <x v="2"/>
    <x v="1"/>
    <x v="0"/>
    <x v="0"/>
    <x v="0"/>
    <x v="0"/>
    <x v="0"/>
    <x v="1"/>
    <x v="0"/>
    <m/>
    <x v="487"/>
  </r>
  <r>
    <s v="USR-101165"/>
    <d v="2025-03-01T00:00:00"/>
    <x v="1"/>
    <x v="1"/>
    <s v="Desktop"/>
    <x v="1"/>
    <x v="0"/>
    <x v="1"/>
    <x v="1"/>
    <x v="1"/>
    <x v="0"/>
    <x v="0"/>
    <x v="0"/>
    <x v="0"/>
    <m/>
    <x v="418"/>
  </r>
  <r>
    <s v="USR-101166"/>
    <d v="2025-03-26T00:00:00"/>
    <x v="1"/>
    <x v="3"/>
    <s v="Tablet"/>
    <x v="1"/>
    <x v="0"/>
    <x v="1"/>
    <x v="0"/>
    <x v="0"/>
    <x v="0"/>
    <x v="0"/>
    <x v="1"/>
    <x v="0"/>
    <m/>
    <x v="488"/>
  </r>
  <r>
    <s v="USR-101167"/>
    <d v="2025-05-25T00:00:00"/>
    <x v="1"/>
    <x v="2"/>
    <s v="Mobile"/>
    <x v="2"/>
    <x v="1"/>
    <x v="0"/>
    <x v="0"/>
    <x v="0"/>
    <x v="0"/>
    <x v="0"/>
    <x v="1"/>
    <x v="0"/>
    <m/>
    <x v="126"/>
  </r>
  <r>
    <s v="USR-101168"/>
    <d v="2025-02-25T00:00:00"/>
    <x v="1"/>
    <x v="1"/>
    <s v="Mobile"/>
    <x v="3"/>
    <x v="2"/>
    <x v="1"/>
    <x v="1"/>
    <x v="1"/>
    <x v="1"/>
    <x v="58"/>
    <x v="0"/>
    <x v="1"/>
    <n v="2"/>
    <x v="443"/>
  </r>
  <r>
    <s v="USR-101169"/>
    <d v="2025-03-23T00:00:00"/>
    <x v="1"/>
    <x v="3"/>
    <s v="Mobile"/>
    <x v="4"/>
    <x v="1"/>
    <x v="1"/>
    <x v="1"/>
    <x v="1"/>
    <x v="0"/>
    <x v="0"/>
    <x v="2"/>
    <x v="0"/>
    <m/>
    <x v="86"/>
  </r>
  <r>
    <s v="USR-101170"/>
    <d v="2025-04-21T00:00:00"/>
    <x v="1"/>
    <x v="1"/>
    <s v="Mobile"/>
    <x v="3"/>
    <x v="1"/>
    <x v="1"/>
    <x v="0"/>
    <x v="0"/>
    <x v="0"/>
    <x v="0"/>
    <x v="0"/>
    <x v="0"/>
    <m/>
    <x v="120"/>
  </r>
  <r>
    <s v="USR-101171"/>
    <d v="2025-05-21T00:00:00"/>
    <x v="1"/>
    <x v="0"/>
    <s v="Mobile"/>
    <x v="1"/>
    <x v="2"/>
    <x v="1"/>
    <x v="0"/>
    <x v="0"/>
    <x v="0"/>
    <x v="0"/>
    <x v="0"/>
    <x v="0"/>
    <m/>
    <x v="429"/>
  </r>
  <r>
    <s v="USR-101172"/>
    <d v="2025-04-25T00:00:00"/>
    <x v="1"/>
    <x v="0"/>
    <s v="Desktop"/>
    <x v="4"/>
    <x v="1"/>
    <x v="1"/>
    <x v="0"/>
    <x v="0"/>
    <x v="0"/>
    <x v="0"/>
    <x v="1"/>
    <x v="0"/>
    <m/>
    <x v="476"/>
  </r>
  <r>
    <s v="USR-101173"/>
    <d v="2025-05-23T00:00:00"/>
    <x v="1"/>
    <x v="1"/>
    <s v="Mobile"/>
    <x v="3"/>
    <x v="0"/>
    <x v="1"/>
    <x v="0"/>
    <x v="0"/>
    <x v="0"/>
    <x v="0"/>
    <x v="1"/>
    <x v="0"/>
    <m/>
    <x v="210"/>
  </r>
  <r>
    <s v="USR-101174"/>
    <d v="2025-03-18T00:00:00"/>
    <x v="1"/>
    <x v="3"/>
    <s v="Mobile"/>
    <x v="0"/>
    <x v="1"/>
    <x v="1"/>
    <x v="0"/>
    <x v="0"/>
    <x v="0"/>
    <x v="0"/>
    <x v="4"/>
    <x v="0"/>
    <m/>
    <x v="76"/>
  </r>
  <r>
    <s v="USR-101175"/>
    <d v="2025-01-03T00:00:00"/>
    <x v="1"/>
    <x v="3"/>
    <s v="Tablet"/>
    <x v="1"/>
    <x v="1"/>
    <x v="1"/>
    <x v="1"/>
    <x v="1"/>
    <x v="0"/>
    <x v="0"/>
    <x v="0"/>
    <x v="0"/>
    <m/>
    <x v="166"/>
  </r>
  <r>
    <s v="USR-101176"/>
    <d v="2025-02-08T00:00:00"/>
    <x v="1"/>
    <x v="1"/>
    <s v="Desktop"/>
    <x v="1"/>
    <x v="1"/>
    <x v="1"/>
    <x v="0"/>
    <x v="0"/>
    <x v="0"/>
    <x v="0"/>
    <x v="0"/>
    <x v="0"/>
    <m/>
    <x v="277"/>
  </r>
  <r>
    <s v="USR-101177"/>
    <d v="2025-02-04T00:00:00"/>
    <x v="1"/>
    <x v="2"/>
    <s v="Unknown"/>
    <x v="2"/>
    <x v="0"/>
    <x v="0"/>
    <x v="0"/>
    <x v="0"/>
    <x v="0"/>
    <x v="0"/>
    <x v="0"/>
    <x v="0"/>
    <m/>
    <x v="278"/>
  </r>
  <r>
    <s v="USR-101178"/>
    <d v="2025-01-16T00:00:00"/>
    <x v="1"/>
    <x v="0"/>
    <s v="Mobile"/>
    <x v="2"/>
    <x v="1"/>
    <x v="0"/>
    <x v="0"/>
    <x v="0"/>
    <x v="0"/>
    <x v="0"/>
    <x v="0"/>
    <x v="0"/>
    <m/>
    <x v="89"/>
  </r>
  <r>
    <s v="USR-101179"/>
    <d v="2025-04-04T00:00:00"/>
    <x v="1"/>
    <x v="1"/>
    <s v="Desktop"/>
    <x v="2"/>
    <x v="1"/>
    <x v="1"/>
    <x v="1"/>
    <x v="1"/>
    <x v="1"/>
    <x v="59"/>
    <x v="1"/>
    <x v="0"/>
    <n v="8"/>
    <x v="11"/>
  </r>
  <r>
    <s v="USR-101180"/>
    <d v="2025-01-23T00:00:00"/>
    <x v="1"/>
    <x v="0"/>
    <s v="Desktop"/>
    <x v="2"/>
    <x v="1"/>
    <x v="0"/>
    <x v="0"/>
    <x v="0"/>
    <x v="0"/>
    <x v="0"/>
    <x v="0"/>
    <x v="0"/>
    <m/>
    <x v="264"/>
  </r>
  <r>
    <s v="USR-101181"/>
    <d v="2025-03-22T00:00:00"/>
    <x v="1"/>
    <x v="3"/>
    <s v="Desktop"/>
    <x v="2"/>
    <x v="1"/>
    <x v="1"/>
    <x v="0"/>
    <x v="0"/>
    <x v="0"/>
    <x v="0"/>
    <x v="0"/>
    <x v="0"/>
    <m/>
    <x v="312"/>
  </r>
  <r>
    <s v="USR-101182"/>
    <d v="2025-02-02T00:00:00"/>
    <x v="1"/>
    <x v="2"/>
    <s v="Tablet"/>
    <x v="4"/>
    <x v="2"/>
    <x v="0"/>
    <x v="0"/>
    <x v="0"/>
    <x v="0"/>
    <x v="0"/>
    <x v="0"/>
    <x v="0"/>
    <m/>
    <x v="462"/>
  </r>
  <r>
    <s v="USR-101183"/>
    <d v="2025-01-31T00:00:00"/>
    <x v="1"/>
    <x v="0"/>
    <s v="Desktop"/>
    <x v="2"/>
    <x v="1"/>
    <x v="0"/>
    <x v="0"/>
    <x v="0"/>
    <x v="0"/>
    <x v="0"/>
    <x v="0"/>
    <x v="0"/>
    <m/>
    <x v="406"/>
  </r>
  <r>
    <s v="USR-101184"/>
    <d v="2025-05-27T00:00:00"/>
    <x v="1"/>
    <x v="1"/>
    <s v="Mobile"/>
    <x v="1"/>
    <x v="0"/>
    <x v="1"/>
    <x v="0"/>
    <x v="0"/>
    <x v="0"/>
    <x v="0"/>
    <x v="0"/>
    <x v="0"/>
    <m/>
    <x v="108"/>
  </r>
  <r>
    <s v="USR-101185"/>
    <d v="2025-05-07T00:00:00"/>
    <x v="1"/>
    <x v="0"/>
    <s v="Mobile"/>
    <x v="1"/>
    <x v="2"/>
    <x v="1"/>
    <x v="0"/>
    <x v="0"/>
    <x v="0"/>
    <x v="0"/>
    <x v="2"/>
    <x v="0"/>
    <m/>
    <x v="395"/>
  </r>
  <r>
    <s v="USR-101186"/>
    <d v="2025-05-08T00:00:00"/>
    <x v="1"/>
    <x v="0"/>
    <s v="Desktop"/>
    <x v="2"/>
    <x v="0"/>
    <x v="1"/>
    <x v="0"/>
    <x v="0"/>
    <x v="0"/>
    <x v="0"/>
    <x v="0"/>
    <x v="0"/>
    <m/>
    <x v="468"/>
  </r>
  <r>
    <s v="USR-101187"/>
    <d v="2025-01-15T00:00:00"/>
    <x v="1"/>
    <x v="1"/>
    <s v="Desktop"/>
    <x v="0"/>
    <x v="1"/>
    <x v="1"/>
    <x v="0"/>
    <x v="0"/>
    <x v="0"/>
    <x v="0"/>
    <x v="3"/>
    <x v="0"/>
    <m/>
    <x v="257"/>
  </r>
  <r>
    <s v="USR-101188"/>
    <d v="2025-01-18T00:00:00"/>
    <x v="1"/>
    <x v="0"/>
    <s v="Mobile"/>
    <x v="2"/>
    <x v="1"/>
    <x v="0"/>
    <x v="0"/>
    <x v="0"/>
    <x v="0"/>
    <x v="0"/>
    <x v="0"/>
    <x v="0"/>
    <m/>
    <x v="489"/>
  </r>
  <r>
    <s v="USR-101189"/>
    <d v="2025-04-16T00:00:00"/>
    <x v="1"/>
    <x v="2"/>
    <s v="Unknown"/>
    <x v="3"/>
    <x v="1"/>
    <x v="1"/>
    <x v="0"/>
    <x v="0"/>
    <x v="0"/>
    <x v="0"/>
    <x v="0"/>
    <x v="0"/>
    <m/>
    <x v="321"/>
  </r>
  <r>
    <s v="USR-101190"/>
    <d v="2025-02-16T00:00:00"/>
    <x v="1"/>
    <x v="2"/>
    <s v="Desktop"/>
    <x v="2"/>
    <x v="1"/>
    <x v="0"/>
    <x v="0"/>
    <x v="0"/>
    <x v="0"/>
    <x v="0"/>
    <x v="0"/>
    <x v="0"/>
    <m/>
    <x v="291"/>
  </r>
  <r>
    <s v="USR-101191"/>
    <d v="2025-04-17T00:00:00"/>
    <x v="1"/>
    <x v="3"/>
    <s v="Desktop"/>
    <x v="3"/>
    <x v="2"/>
    <x v="1"/>
    <x v="1"/>
    <x v="1"/>
    <x v="0"/>
    <x v="0"/>
    <x v="0"/>
    <x v="0"/>
    <m/>
    <x v="73"/>
  </r>
  <r>
    <s v="USR-101192"/>
    <d v="2025-04-30T00:00:00"/>
    <x v="1"/>
    <x v="3"/>
    <s v="Mobile"/>
    <x v="1"/>
    <x v="0"/>
    <x v="0"/>
    <x v="0"/>
    <x v="0"/>
    <x v="0"/>
    <x v="0"/>
    <x v="0"/>
    <x v="0"/>
    <m/>
    <x v="121"/>
  </r>
  <r>
    <s v="USR-101193"/>
    <d v="2025-01-29T00:00:00"/>
    <x v="1"/>
    <x v="1"/>
    <s v="Mobile"/>
    <x v="4"/>
    <x v="2"/>
    <x v="0"/>
    <x v="0"/>
    <x v="0"/>
    <x v="0"/>
    <x v="0"/>
    <x v="0"/>
    <x v="0"/>
    <m/>
    <x v="101"/>
  </r>
  <r>
    <s v="USR-101194"/>
    <d v="2025-01-11T00:00:00"/>
    <x v="1"/>
    <x v="0"/>
    <s v="Mobile"/>
    <x v="4"/>
    <x v="0"/>
    <x v="0"/>
    <x v="0"/>
    <x v="0"/>
    <x v="0"/>
    <x v="0"/>
    <x v="0"/>
    <x v="0"/>
    <m/>
    <x v="9"/>
  </r>
  <r>
    <s v="USR-101195"/>
    <d v="2025-04-08T00:00:00"/>
    <x v="1"/>
    <x v="2"/>
    <s v="Desktop"/>
    <x v="2"/>
    <x v="2"/>
    <x v="1"/>
    <x v="0"/>
    <x v="0"/>
    <x v="0"/>
    <x v="0"/>
    <x v="1"/>
    <x v="0"/>
    <m/>
    <x v="162"/>
  </r>
  <r>
    <s v="USR-101196"/>
    <d v="2025-02-22T00:00:00"/>
    <x v="1"/>
    <x v="0"/>
    <s v="Unknown"/>
    <x v="4"/>
    <x v="1"/>
    <x v="1"/>
    <x v="0"/>
    <x v="0"/>
    <x v="0"/>
    <x v="0"/>
    <x v="1"/>
    <x v="0"/>
    <m/>
    <x v="490"/>
  </r>
  <r>
    <s v="USR-101197"/>
    <d v="2025-03-23T00:00:00"/>
    <x v="1"/>
    <x v="3"/>
    <s v="Mobile"/>
    <x v="1"/>
    <x v="1"/>
    <x v="0"/>
    <x v="0"/>
    <x v="0"/>
    <x v="0"/>
    <x v="0"/>
    <x v="0"/>
    <x v="0"/>
    <m/>
    <x v="315"/>
  </r>
  <r>
    <s v="USR-101198"/>
    <d v="2025-05-23T00:00:00"/>
    <x v="1"/>
    <x v="3"/>
    <s v="Tablet"/>
    <x v="2"/>
    <x v="1"/>
    <x v="1"/>
    <x v="0"/>
    <x v="0"/>
    <x v="0"/>
    <x v="0"/>
    <x v="1"/>
    <x v="0"/>
    <m/>
    <x v="383"/>
  </r>
  <r>
    <s v="USR-101199"/>
    <d v="2025-04-27T00:00:00"/>
    <x v="1"/>
    <x v="1"/>
    <s v="Mobile"/>
    <x v="3"/>
    <x v="0"/>
    <x v="1"/>
    <x v="1"/>
    <x v="1"/>
    <x v="0"/>
    <x v="0"/>
    <x v="0"/>
    <x v="0"/>
    <m/>
    <x v="259"/>
  </r>
  <r>
    <s v="USR-101200"/>
    <d v="2025-05-26T00:00:00"/>
    <x v="1"/>
    <x v="0"/>
    <s v="Mobile"/>
    <x v="3"/>
    <x v="1"/>
    <x v="1"/>
    <x v="0"/>
    <x v="0"/>
    <x v="0"/>
    <x v="0"/>
    <x v="0"/>
    <x v="0"/>
    <m/>
    <x v="193"/>
  </r>
  <r>
    <s v="USR-101201"/>
    <d v="2025-03-06T00:00:00"/>
    <x v="1"/>
    <x v="2"/>
    <s v="Mobile"/>
    <x v="2"/>
    <x v="0"/>
    <x v="1"/>
    <x v="1"/>
    <x v="0"/>
    <x v="0"/>
    <x v="0"/>
    <x v="1"/>
    <x v="0"/>
    <m/>
    <x v="59"/>
  </r>
  <r>
    <s v="USR-101202"/>
    <d v="2025-04-03T00:00:00"/>
    <x v="1"/>
    <x v="1"/>
    <s v="Mobile"/>
    <x v="1"/>
    <x v="0"/>
    <x v="1"/>
    <x v="1"/>
    <x v="1"/>
    <x v="0"/>
    <x v="0"/>
    <x v="1"/>
    <x v="0"/>
    <m/>
    <x v="193"/>
  </r>
  <r>
    <s v="USR-101203"/>
    <d v="2025-02-01T00:00:00"/>
    <x v="1"/>
    <x v="2"/>
    <s v="Desktop"/>
    <x v="2"/>
    <x v="1"/>
    <x v="1"/>
    <x v="0"/>
    <x v="0"/>
    <x v="0"/>
    <x v="0"/>
    <x v="3"/>
    <x v="0"/>
    <m/>
    <x v="364"/>
  </r>
  <r>
    <s v="USR-101204"/>
    <d v="2025-05-01T00:00:00"/>
    <x v="1"/>
    <x v="1"/>
    <s v="Mobile"/>
    <x v="3"/>
    <x v="2"/>
    <x v="1"/>
    <x v="1"/>
    <x v="1"/>
    <x v="0"/>
    <x v="0"/>
    <x v="3"/>
    <x v="0"/>
    <m/>
    <x v="45"/>
  </r>
  <r>
    <s v="USR-101205"/>
    <d v="2025-04-13T00:00:00"/>
    <x v="1"/>
    <x v="0"/>
    <s v="Mobile"/>
    <x v="4"/>
    <x v="2"/>
    <x v="0"/>
    <x v="0"/>
    <x v="0"/>
    <x v="0"/>
    <x v="0"/>
    <x v="0"/>
    <x v="0"/>
    <m/>
    <x v="138"/>
  </r>
  <r>
    <s v="USR-101206"/>
    <d v="2025-01-25T00:00:00"/>
    <x v="1"/>
    <x v="2"/>
    <s v="Mobile"/>
    <x v="4"/>
    <x v="1"/>
    <x v="0"/>
    <x v="0"/>
    <x v="0"/>
    <x v="0"/>
    <x v="0"/>
    <x v="0"/>
    <x v="0"/>
    <m/>
    <x v="491"/>
  </r>
  <r>
    <s v="USR-101207"/>
    <d v="2025-03-17T00:00:00"/>
    <x v="1"/>
    <x v="0"/>
    <s v="Mobile"/>
    <x v="1"/>
    <x v="1"/>
    <x v="0"/>
    <x v="0"/>
    <x v="0"/>
    <x v="0"/>
    <x v="0"/>
    <x v="0"/>
    <x v="0"/>
    <m/>
    <x v="118"/>
  </r>
  <r>
    <s v="USR-101208"/>
    <d v="2025-02-21T00:00:00"/>
    <x v="1"/>
    <x v="1"/>
    <s v="Desktop"/>
    <x v="4"/>
    <x v="0"/>
    <x v="1"/>
    <x v="0"/>
    <x v="0"/>
    <x v="0"/>
    <x v="0"/>
    <x v="1"/>
    <x v="0"/>
    <m/>
    <x v="298"/>
  </r>
  <r>
    <s v="USR-101209"/>
    <d v="2025-04-08T00:00:00"/>
    <x v="1"/>
    <x v="2"/>
    <s v="Tablet"/>
    <x v="1"/>
    <x v="0"/>
    <x v="0"/>
    <x v="0"/>
    <x v="0"/>
    <x v="0"/>
    <x v="0"/>
    <x v="0"/>
    <x v="0"/>
    <m/>
    <x v="492"/>
  </r>
  <r>
    <s v="USR-101210"/>
    <d v="2025-02-24T00:00:00"/>
    <x v="1"/>
    <x v="1"/>
    <s v="Mobile"/>
    <x v="1"/>
    <x v="0"/>
    <x v="1"/>
    <x v="0"/>
    <x v="0"/>
    <x v="0"/>
    <x v="0"/>
    <x v="0"/>
    <x v="0"/>
    <m/>
    <x v="202"/>
  </r>
  <r>
    <s v="USR-101211"/>
    <d v="2025-05-29T00:00:00"/>
    <x v="1"/>
    <x v="3"/>
    <s v="Mobile"/>
    <x v="1"/>
    <x v="1"/>
    <x v="1"/>
    <x v="1"/>
    <x v="0"/>
    <x v="0"/>
    <x v="0"/>
    <x v="0"/>
    <x v="0"/>
    <m/>
    <x v="207"/>
  </r>
  <r>
    <s v="USR-101212"/>
    <d v="2025-05-30T00:00:00"/>
    <x v="1"/>
    <x v="0"/>
    <s v="Mobile"/>
    <x v="0"/>
    <x v="0"/>
    <x v="1"/>
    <x v="0"/>
    <x v="0"/>
    <x v="0"/>
    <x v="0"/>
    <x v="1"/>
    <x v="0"/>
    <m/>
    <x v="78"/>
  </r>
  <r>
    <s v="USR-101213"/>
    <d v="2025-01-24T00:00:00"/>
    <x v="1"/>
    <x v="0"/>
    <s v="Desktop"/>
    <x v="1"/>
    <x v="2"/>
    <x v="0"/>
    <x v="0"/>
    <x v="0"/>
    <x v="0"/>
    <x v="0"/>
    <x v="0"/>
    <x v="0"/>
    <m/>
    <x v="160"/>
  </r>
  <r>
    <s v="USR-101214"/>
    <d v="2025-05-12T00:00:00"/>
    <x v="1"/>
    <x v="3"/>
    <s v="Mobile"/>
    <x v="1"/>
    <x v="0"/>
    <x v="1"/>
    <x v="1"/>
    <x v="0"/>
    <x v="0"/>
    <x v="0"/>
    <x v="0"/>
    <x v="0"/>
    <m/>
    <x v="448"/>
  </r>
  <r>
    <s v="USR-101215"/>
    <d v="2025-03-28T00:00:00"/>
    <x v="1"/>
    <x v="3"/>
    <s v="Mobile"/>
    <x v="1"/>
    <x v="0"/>
    <x v="1"/>
    <x v="1"/>
    <x v="1"/>
    <x v="0"/>
    <x v="0"/>
    <x v="0"/>
    <x v="0"/>
    <m/>
    <x v="388"/>
  </r>
  <r>
    <s v="USR-101216"/>
    <d v="2025-04-14T00:00:00"/>
    <x v="1"/>
    <x v="0"/>
    <s v="Mobile"/>
    <x v="3"/>
    <x v="0"/>
    <x v="1"/>
    <x v="0"/>
    <x v="0"/>
    <x v="0"/>
    <x v="0"/>
    <x v="0"/>
    <x v="0"/>
    <m/>
    <x v="493"/>
  </r>
  <r>
    <s v="USR-101217"/>
    <d v="2025-01-28T00:00:00"/>
    <x v="1"/>
    <x v="2"/>
    <s v="Tablet"/>
    <x v="3"/>
    <x v="0"/>
    <x v="0"/>
    <x v="0"/>
    <x v="0"/>
    <x v="0"/>
    <x v="0"/>
    <x v="0"/>
    <x v="0"/>
    <m/>
    <x v="18"/>
  </r>
  <r>
    <s v="USR-101218"/>
    <d v="2025-05-21T00:00:00"/>
    <x v="1"/>
    <x v="0"/>
    <s v="Mobile"/>
    <x v="1"/>
    <x v="0"/>
    <x v="0"/>
    <x v="0"/>
    <x v="0"/>
    <x v="0"/>
    <x v="0"/>
    <x v="0"/>
    <x v="0"/>
    <m/>
    <x v="252"/>
  </r>
  <r>
    <s v="USR-101219"/>
    <d v="2025-05-11T00:00:00"/>
    <x v="1"/>
    <x v="1"/>
    <s v="Desktop"/>
    <x v="1"/>
    <x v="1"/>
    <x v="0"/>
    <x v="0"/>
    <x v="0"/>
    <x v="0"/>
    <x v="0"/>
    <x v="0"/>
    <x v="0"/>
    <m/>
    <x v="68"/>
  </r>
  <r>
    <s v="USR-101220"/>
    <d v="2025-02-02T00:00:00"/>
    <x v="1"/>
    <x v="3"/>
    <s v="Mobile"/>
    <x v="2"/>
    <x v="1"/>
    <x v="1"/>
    <x v="0"/>
    <x v="0"/>
    <x v="0"/>
    <x v="0"/>
    <x v="0"/>
    <x v="0"/>
    <m/>
    <x v="88"/>
  </r>
  <r>
    <s v="USR-101221"/>
    <d v="2025-02-26T00:00:00"/>
    <x v="1"/>
    <x v="0"/>
    <s v="Mobile"/>
    <x v="4"/>
    <x v="1"/>
    <x v="1"/>
    <x v="1"/>
    <x v="1"/>
    <x v="1"/>
    <x v="60"/>
    <x v="1"/>
    <x v="0"/>
    <n v="6"/>
    <x v="494"/>
  </r>
  <r>
    <s v="USR-101222"/>
    <d v="2025-02-27T00:00:00"/>
    <x v="1"/>
    <x v="3"/>
    <s v="Desktop"/>
    <x v="3"/>
    <x v="1"/>
    <x v="1"/>
    <x v="1"/>
    <x v="1"/>
    <x v="1"/>
    <x v="61"/>
    <x v="0"/>
    <x v="0"/>
    <n v="4"/>
    <x v="68"/>
  </r>
  <r>
    <s v="USR-101223"/>
    <d v="2025-03-09T00:00:00"/>
    <x v="1"/>
    <x v="1"/>
    <s v="Mobile"/>
    <x v="1"/>
    <x v="1"/>
    <x v="0"/>
    <x v="0"/>
    <x v="0"/>
    <x v="0"/>
    <x v="0"/>
    <x v="0"/>
    <x v="0"/>
    <m/>
    <x v="89"/>
  </r>
  <r>
    <s v="USR-101224"/>
    <d v="2025-02-07T00:00:00"/>
    <x v="1"/>
    <x v="0"/>
    <s v="Mobile"/>
    <x v="2"/>
    <x v="0"/>
    <x v="1"/>
    <x v="0"/>
    <x v="0"/>
    <x v="0"/>
    <x v="0"/>
    <x v="1"/>
    <x v="0"/>
    <m/>
    <x v="135"/>
  </r>
  <r>
    <s v="USR-101225"/>
    <d v="2025-01-31T00:00:00"/>
    <x v="1"/>
    <x v="1"/>
    <s v="Mobile"/>
    <x v="4"/>
    <x v="1"/>
    <x v="0"/>
    <x v="0"/>
    <x v="0"/>
    <x v="0"/>
    <x v="0"/>
    <x v="0"/>
    <x v="0"/>
    <m/>
    <x v="236"/>
  </r>
  <r>
    <s v="USR-101226"/>
    <d v="2025-02-14T00:00:00"/>
    <x v="1"/>
    <x v="0"/>
    <s v="Tablet"/>
    <x v="2"/>
    <x v="0"/>
    <x v="1"/>
    <x v="1"/>
    <x v="1"/>
    <x v="1"/>
    <x v="62"/>
    <x v="0"/>
    <x v="0"/>
    <n v="8"/>
    <x v="495"/>
  </r>
  <r>
    <s v="USR-101227"/>
    <d v="2025-02-12T00:00:00"/>
    <x v="1"/>
    <x v="3"/>
    <s v="Desktop"/>
    <x v="4"/>
    <x v="0"/>
    <x v="0"/>
    <x v="0"/>
    <x v="0"/>
    <x v="0"/>
    <x v="0"/>
    <x v="0"/>
    <x v="0"/>
    <m/>
    <x v="496"/>
  </r>
  <r>
    <s v="USR-101228"/>
    <d v="2025-03-23T00:00:00"/>
    <x v="1"/>
    <x v="2"/>
    <s v="Unknown"/>
    <x v="2"/>
    <x v="1"/>
    <x v="1"/>
    <x v="0"/>
    <x v="0"/>
    <x v="0"/>
    <x v="0"/>
    <x v="1"/>
    <x v="0"/>
    <m/>
    <x v="100"/>
  </r>
  <r>
    <s v="USR-101229"/>
    <d v="2025-03-18T00:00:00"/>
    <x v="1"/>
    <x v="1"/>
    <s v="Mobile"/>
    <x v="2"/>
    <x v="1"/>
    <x v="0"/>
    <x v="0"/>
    <x v="0"/>
    <x v="0"/>
    <x v="0"/>
    <x v="0"/>
    <x v="0"/>
    <m/>
    <x v="335"/>
  </r>
  <r>
    <s v="USR-101230"/>
    <d v="2025-05-17T00:00:00"/>
    <x v="1"/>
    <x v="0"/>
    <s v="Mobile"/>
    <x v="4"/>
    <x v="1"/>
    <x v="1"/>
    <x v="0"/>
    <x v="0"/>
    <x v="0"/>
    <x v="0"/>
    <x v="0"/>
    <x v="0"/>
    <m/>
    <x v="497"/>
  </r>
  <r>
    <s v="USR-101231"/>
    <d v="2025-03-26T00:00:00"/>
    <x v="1"/>
    <x v="1"/>
    <s v="Desktop"/>
    <x v="4"/>
    <x v="2"/>
    <x v="1"/>
    <x v="0"/>
    <x v="0"/>
    <x v="0"/>
    <x v="0"/>
    <x v="1"/>
    <x v="0"/>
    <m/>
    <x v="498"/>
  </r>
  <r>
    <s v="USR-101232"/>
    <d v="2025-03-30T00:00:00"/>
    <x v="1"/>
    <x v="2"/>
    <s v="Mobile"/>
    <x v="1"/>
    <x v="1"/>
    <x v="1"/>
    <x v="1"/>
    <x v="1"/>
    <x v="0"/>
    <x v="0"/>
    <x v="1"/>
    <x v="0"/>
    <m/>
    <x v="441"/>
  </r>
  <r>
    <s v="USR-101233"/>
    <d v="2025-02-25T00:00:00"/>
    <x v="1"/>
    <x v="2"/>
    <s v="Desktop"/>
    <x v="1"/>
    <x v="1"/>
    <x v="1"/>
    <x v="0"/>
    <x v="0"/>
    <x v="0"/>
    <x v="0"/>
    <x v="0"/>
    <x v="0"/>
    <m/>
    <x v="340"/>
  </r>
  <r>
    <s v="USR-101234"/>
    <d v="2025-03-01T00:00:00"/>
    <x v="1"/>
    <x v="2"/>
    <s v="Desktop"/>
    <x v="4"/>
    <x v="1"/>
    <x v="0"/>
    <x v="0"/>
    <x v="0"/>
    <x v="0"/>
    <x v="0"/>
    <x v="0"/>
    <x v="0"/>
    <m/>
    <x v="20"/>
  </r>
  <r>
    <s v="USR-101235"/>
    <d v="2025-05-27T00:00:00"/>
    <x v="1"/>
    <x v="0"/>
    <s v="Mobile"/>
    <x v="2"/>
    <x v="0"/>
    <x v="0"/>
    <x v="0"/>
    <x v="0"/>
    <x v="0"/>
    <x v="0"/>
    <x v="0"/>
    <x v="0"/>
    <m/>
    <x v="13"/>
  </r>
  <r>
    <s v="USR-101236"/>
    <d v="2025-02-05T00:00:00"/>
    <x v="1"/>
    <x v="1"/>
    <s v="Mobile"/>
    <x v="5"/>
    <x v="2"/>
    <x v="1"/>
    <x v="0"/>
    <x v="0"/>
    <x v="0"/>
    <x v="0"/>
    <x v="0"/>
    <x v="0"/>
    <m/>
    <x v="191"/>
  </r>
  <r>
    <s v="USR-101237"/>
    <d v="2025-01-25T00:00:00"/>
    <x v="1"/>
    <x v="1"/>
    <s v="Desktop"/>
    <x v="0"/>
    <x v="1"/>
    <x v="1"/>
    <x v="1"/>
    <x v="1"/>
    <x v="1"/>
    <x v="63"/>
    <x v="0"/>
    <x v="0"/>
    <n v="4"/>
    <x v="296"/>
  </r>
  <r>
    <s v="USR-101238"/>
    <d v="2025-04-10T00:00:00"/>
    <x v="1"/>
    <x v="2"/>
    <s v="Mobile"/>
    <x v="1"/>
    <x v="2"/>
    <x v="1"/>
    <x v="0"/>
    <x v="0"/>
    <x v="0"/>
    <x v="0"/>
    <x v="0"/>
    <x v="0"/>
    <m/>
    <x v="234"/>
  </r>
  <r>
    <s v="USR-101239"/>
    <d v="2025-01-10T00:00:00"/>
    <x v="1"/>
    <x v="2"/>
    <s v="Mobile"/>
    <x v="1"/>
    <x v="2"/>
    <x v="1"/>
    <x v="0"/>
    <x v="0"/>
    <x v="0"/>
    <x v="0"/>
    <x v="0"/>
    <x v="0"/>
    <m/>
    <x v="289"/>
  </r>
  <r>
    <s v="USR-101240"/>
    <d v="2025-02-23T00:00:00"/>
    <x v="1"/>
    <x v="2"/>
    <s v="Mobile"/>
    <x v="5"/>
    <x v="1"/>
    <x v="0"/>
    <x v="0"/>
    <x v="0"/>
    <x v="0"/>
    <x v="0"/>
    <x v="0"/>
    <x v="0"/>
    <m/>
    <x v="499"/>
  </r>
  <r>
    <s v="USR-101241"/>
    <d v="2025-05-23T00:00:00"/>
    <x v="1"/>
    <x v="1"/>
    <s v="Desktop"/>
    <x v="1"/>
    <x v="0"/>
    <x v="1"/>
    <x v="1"/>
    <x v="0"/>
    <x v="0"/>
    <x v="0"/>
    <x v="0"/>
    <x v="0"/>
    <m/>
    <x v="450"/>
  </r>
  <r>
    <s v="USR-101242"/>
    <d v="2025-03-08T00:00:00"/>
    <x v="1"/>
    <x v="0"/>
    <s v="Tablet"/>
    <x v="0"/>
    <x v="0"/>
    <x v="0"/>
    <x v="0"/>
    <x v="0"/>
    <x v="0"/>
    <x v="0"/>
    <x v="1"/>
    <x v="0"/>
    <m/>
    <x v="188"/>
  </r>
  <r>
    <s v="USR-101243"/>
    <d v="2025-05-21T00:00:00"/>
    <x v="1"/>
    <x v="2"/>
    <s v="Mobile"/>
    <x v="1"/>
    <x v="0"/>
    <x v="1"/>
    <x v="0"/>
    <x v="0"/>
    <x v="0"/>
    <x v="0"/>
    <x v="0"/>
    <x v="0"/>
    <m/>
    <x v="21"/>
  </r>
  <r>
    <s v="USR-101244"/>
    <d v="2025-04-22T00:00:00"/>
    <x v="1"/>
    <x v="0"/>
    <s v="Mobile"/>
    <x v="0"/>
    <x v="0"/>
    <x v="1"/>
    <x v="1"/>
    <x v="0"/>
    <x v="0"/>
    <x v="0"/>
    <x v="0"/>
    <x v="0"/>
    <m/>
    <x v="103"/>
  </r>
  <r>
    <s v="USR-101245"/>
    <d v="2025-04-16T00:00:00"/>
    <x v="1"/>
    <x v="0"/>
    <s v="Mobile"/>
    <x v="0"/>
    <x v="2"/>
    <x v="1"/>
    <x v="0"/>
    <x v="0"/>
    <x v="0"/>
    <x v="0"/>
    <x v="0"/>
    <x v="0"/>
    <m/>
    <x v="431"/>
  </r>
  <r>
    <s v="USR-101246"/>
    <d v="2025-05-08T00:00:00"/>
    <x v="1"/>
    <x v="0"/>
    <s v="Tablet"/>
    <x v="1"/>
    <x v="1"/>
    <x v="1"/>
    <x v="0"/>
    <x v="0"/>
    <x v="0"/>
    <x v="0"/>
    <x v="0"/>
    <x v="0"/>
    <m/>
    <x v="38"/>
  </r>
  <r>
    <s v="USR-101247"/>
    <d v="2025-05-22T00:00:00"/>
    <x v="1"/>
    <x v="0"/>
    <s v="Mobile"/>
    <x v="2"/>
    <x v="0"/>
    <x v="1"/>
    <x v="0"/>
    <x v="0"/>
    <x v="0"/>
    <x v="0"/>
    <x v="0"/>
    <x v="0"/>
    <m/>
    <x v="227"/>
  </r>
  <r>
    <s v="USR-101248"/>
    <d v="2025-03-21T00:00:00"/>
    <x v="1"/>
    <x v="0"/>
    <s v="Mobile"/>
    <x v="3"/>
    <x v="0"/>
    <x v="1"/>
    <x v="1"/>
    <x v="1"/>
    <x v="0"/>
    <x v="0"/>
    <x v="0"/>
    <x v="0"/>
    <m/>
    <x v="78"/>
  </r>
  <r>
    <s v="USR-101249"/>
    <d v="2025-03-22T00:00:00"/>
    <x v="1"/>
    <x v="2"/>
    <s v="Mobile"/>
    <x v="1"/>
    <x v="0"/>
    <x v="1"/>
    <x v="0"/>
    <x v="0"/>
    <x v="0"/>
    <x v="0"/>
    <x v="1"/>
    <x v="0"/>
    <m/>
    <x v="500"/>
  </r>
  <r>
    <s v="USR-101250"/>
    <d v="2025-01-10T00:00:00"/>
    <x v="1"/>
    <x v="1"/>
    <s v="Desktop"/>
    <x v="4"/>
    <x v="1"/>
    <x v="1"/>
    <x v="0"/>
    <x v="0"/>
    <x v="0"/>
    <x v="0"/>
    <x v="0"/>
    <x v="0"/>
    <m/>
    <x v="331"/>
  </r>
  <r>
    <s v="USR-101251"/>
    <d v="2025-02-01T00:00:00"/>
    <x v="1"/>
    <x v="2"/>
    <s v="Mobile"/>
    <x v="1"/>
    <x v="0"/>
    <x v="1"/>
    <x v="1"/>
    <x v="1"/>
    <x v="1"/>
    <x v="64"/>
    <x v="0"/>
    <x v="0"/>
    <n v="4"/>
    <x v="440"/>
  </r>
  <r>
    <s v="USR-101252"/>
    <d v="2025-03-31T00:00:00"/>
    <x v="1"/>
    <x v="3"/>
    <s v="Mobile"/>
    <x v="2"/>
    <x v="0"/>
    <x v="1"/>
    <x v="1"/>
    <x v="0"/>
    <x v="0"/>
    <x v="0"/>
    <x v="3"/>
    <x v="0"/>
    <m/>
    <x v="87"/>
  </r>
  <r>
    <s v="USR-101253"/>
    <d v="2025-04-25T00:00:00"/>
    <x v="1"/>
    <x v="0"/>
    <s v="Mobile"/>
    <x v="2"/>
    <x v="1"/>
    <x v="1"/>
    <x v="0"/>
    <x v="0"/>
    <x v="0"/>
    <x v="0"/>
    <x v="0"/>
    <x v="0"/>
    <m/>
    <x v="8"/>
  </r>
  <r>
    <s v="USR-101254"/>
    <d v="2025-05-02T00:00:00"/>
    <x v="1"/>
    <x v="1"/>
    <s v="Mobile"/>
    <x v="4"/>
    <x v="0"/>
    <x v="0"/>
    <x v="0"/>
    <x v="0"/>
    <x v="0"/>
    <x v="0"/>
    <x v="0"/>
    <x v="0"/>
    <m/>
    <x v="303"/>
  </r>
  <r>
    <s v="USR-101255"/>
    <d v="2025-03-08T00:00:00"/>
    <x v="1"/>
    <x v="3"/>
    <s v="Desktop"/>
    <x v="4"/>
    <x v="0"/>
    <x v="1"/>
    <x v="0"/>
    <x v="0"/>
    <x v="0"/>
    <x v="0"/>
    <x v="0"/>
    <x v="0"/>
    <m/>
    <x v="501"/>
  </r>
  <r>
    <s v="USR-101256"/>
    <d v="2025-01-27T00:00:00"/>
    <x v="1"/>
    <x v="2"/>
    <s v="Desktop"/>
    <x v="5"/>
    <x v="1"/>
    <x v="1"/>
    <x v="1"/>
    <x v="1"/>
    <x v="1"/>
    <x v="65"/>
    <x v="0"/>
    <x v="0"/>
    <n v="6"/>
    <x v="221"/>
  </r>
  <r>
    <s v="USR-101257"/>
    <d v="2025-04-27T00:00:00"/>
    <x v="1"/>
    <x v="1"/>
    <s v="Mobile"/>
    <x v="2"/>
    <x v="1"/>
    <x v="0"/>
    <x v="0"/>
    <x v="0"/>
    <x v="0"/>
    <x v="0"/>
    <x v="0"/>
    <x v="0"/>
    <m/>
    <x v="319"/>
  </r>
  <r>
    <s v="USR-101258"/>
    <d v="2025-01-16T00:00:00"/>
    <x v="1"/>
    <x v="1"/>
    <s v="Desktop"/>
    <x v="2"/>
    <x v="0"/>
    <x v="1"/>
    <x v="0"/>
    <x v="0"/>
    <x v="0"/>
    <x v="0"/>
    <x v="0"/>
    <x v="0"/>
    <m/>
    <x v="423"/>
  </r>
  <r>
    <s v="USR-101259"/>
    <d v="2025-01-18T00:00:00"/>
    <x v="1"/>
    <x v="1"/>
    <s v="Desktop"/>
    <x v="2"/>
    <x v="0"/>
    <x v="1"/>
    <x v="0"/>
    <x v="0"/>
    <x v="0"/>
    <x v="0"/>
    <x v="0"/>
    <x v="0"/>
    <m/>
    <x v="175"/>
  </r>
  <r>
    <s v="USR-101260"/>
    <d v="2025-03-21T00:00:00"/>
    <x v="1"/>
    <x v="0"/>
    <s v="Mobile"/>
    <x v="1"/>
    <x v="1"/>
    <x v="1"/>
    <x v="0"/>
    <x v="0"/>
    <x v="0"/>
    <x v="0"/>
    <x v="0"/>
    <x v="0"/>
    <m/>
    <x v="502"/>
  </r>
  <r>
    <s v="USR-101261"/>
    <d v="2025-04-02T00:00:00"/>
    <x v="1"/>
    <x v="0"/>
    <s v="Desktop"/>
    <x v="2"/>
    <x v="1"/>
    <x v="1"/>
    <x v="0"/>
    <x v="0"/>
    <x v="0"/>
    <x v="0"/>
    <x v="0"/>
    <x v="0"/>
    <m/>
    <x v="379"/>
  </r>
  <r>
    <s v="USR-101262"/>
    <d v="2025-02-16T00:00:00"/>
    <x v="1"/>
    <x v="1"/>
    <s v="Desktop"/>
    <x v="1"/>
    <x v="1"/>
    <x v="1"/>
    <x v="1"/>
    <x v="1"/>
    <x v="0"/>
    <x v="0"/>
    <x v="0"/>
    <x v="0"/>
    <m/>
    <x v="346"/>
  </r>
  <r>
    <s v="USR-101263"/>
    <d v="2025-02-18T00:00:00"/>
    <x v="1"/>
    <x v="0"/>
    <s v="Mobile"/>
    <x v="4"/>
    <x v="1"/>
    <x v="1"/>
    <x v="0"/>
    <x v="0"/>
    <x v="0"/>
    <x v="0"/>
    <x v="0"/>
    <x v="0"/>
    <m/>
    <x v="51"/>
  </r>
  <r>
    <s v="USR-101264"/>
    <d v="2025-01-09T00:00:00"/>
    <x v="1"/>
    <x v="2"/>
    <s v="Mobile"/>
    <x v="1"/>
    <x v="1"/>
    <x v="1"/>
    <x v="0"/>
    <x v="0"/>
    <x v="0"/>
    <x v="0"/>
    <x v="0"/>
    <x v="0"/>
    <m/>
    <x v="59"/>
  </r>
  <r>
    <s v="USR-101265"/>
    <d v="2025-02-18T00:00:00"/>
    <x v="1"/>
    <x v="0"/>
    <s v="Desktop"/>
    <x v="2"/>
    <x v="1"/>
    <x v="1"/>
    <x v="0"/>
    <x v="0"/>
    <x v="0"/>
    <x v="0"/>
    <x v="1"/>
    <x v="0"/>
    <m/>
    <x v="115"/>
  </r>
  <r>
    <s v="USR-101266"/>
    <d v="2025-01-10T00:00:00"/>
    <x v="1"/>
    <x v="2"/>
    <s v="Mobile"/>
    <x v="3"/>
    <x v="1"/>
    <x v="0"/>
    <x v="0"/>
    <x v="0"/>
    <x v="0"/>
    <x v="0"/>
    <x v="0"/>
    <x v="0"/>
    <m/>
    <x v="374"/>
  </r>
  <r>
    <s v="USR-101267"/>
    <d v="2025-03-08T00:00:00"/>
    <x v="1"/>
    <x v="1"/>
    <s v="Mobile"/>
    <x v="0"/>
    <x v="1"/>
    <x v="1"/>
    <x v="0"/>
    <x v="0"/>
    <x v="0"/>
    <x v="0"/>
    <x v="0"/>
    <x v="0"/>
    <m/>
    <x v="467"/>
  </r>
  <r>
    <s v="USR-101268"/>
    <d v="2025-04-16T00:00:00"/>
    <x v="1"/>
    <x v="2"/>
    <s v="Desktop"/>
    <x v="2"/>
    <x v="0"/>
    <x v="0"/>
    <x v="0"/>
    <x v="0"/>
    <x v="0"/>
    <x v="0"/>
    <x v="0"/>
    <x v="0"/>
    <m/>
    <x v="75"/>
  </r>
  <r>
    <s v="USR-101269"/>
    <d v="2025-02-19T00:00:00"/>
    <x v="1"/>
    <x v="1"/>
    <s v="Desktop"/>
    <x v="2"/>
    <x v="2"/>
    <x v="0"/>
    <x v="0"/>
    <x v="0"/>
    <x v="0"/>
    <x v="0"/>
    <x v="1"/>
    <x v="0"/>
    <m/>
    <x v="1"/>
  </r>
  <r>
    <s v="USR-101270"/>
    <d v="2025-03-16T00:00:00"/>
    <x v="1"/>
    <x v="2"/>
    <s v="Desktop"/>
    <x v="4"/>
    <x v="1"/>
    <x v="1"/>
    <x v="1"/>
    <x v="0"/>
    <x v="0"/>
    <x v="0"/>
    <x v="0"/>
    <x v="0"/>
    <m/>
    <x v="229"/>
  </r>
  <r>
    <s v="USR-101271"/>
    <d v="2025-02-03T00:00:00"/>
    <x v="1"/>
    <x v="1"/>
    <s v="Unknown"/>
    <x v="3"/>
    <x v="0"/>
    <x v="1"/>
    <x v="0"/>
    <x v="0"/>
    <x v="0"/>
    <x v="0"/>
    <x v="1"/>
    <x v="0"/>
    <m/>
    <x v="425"/>
  </r>
  <r>
    <s v="USR-101272"/>
    <d v="2025-03-12T00:00:00"/>
    <x v="1"/>
    <x v="1"/>
    <s v="Mobile"/>
    <x v="2"/>
    <x v="0"/>
    <x v="1"/>
    <x v="0"/>
    <x v="0"/>
    <x v="0"/>
    <x v="0"/>
    <x v="0"/>
    <x v="0"/>
    <m/>
    <x v="503"/>
  </r>
  <r>
    <s v="USR-101273"/>
    <d v="2025-05-09T00:00:00"/>
    <x v="1"/>
    <x v="1"/>
    <s v="Mobile"/>
    <x v="4"/>
    <x v="1"/>
    <x v="1"/>
    <x v="1"/>
    <x v="1"/>
    <x v="0"/>
    <x v="0"/>
    <x v="3"/>
    <x v="0"/>
    <m/>
    <x v="278"/>
  </r>
  <r>
    <s v="USR-101274"/>
    <d v="2025-01-19T00:00:00"/>
    <x v="1"/>
    <x v="3"/>
    <s v="Desktop"/>
    <x v="4"/>
    <x v="2"/>
    <x v="1"/>
    <x v="0"/>
    <x v="0"/>
    <x v="0"/>
    <x v="0"/>
    <x v="0"/>
    <x v="0"/>
    <m/>
    <x v="504"/>
  </r>
  <r>
    <s v="USR-101275"/>
    <d v="2025-01-24T00:00:00"/>
    <x v="1"/>
    <x v="1"/>
    <s v="Mobile"/>
    <x v="3"/>
    <x v="1"/>
    <x v="1"/>
    <x v="1"/>
    <x v="1"/>
    <x v="0"/>
    <x v="0"/>
    <x v="1"/>
    <x v="0"/>
    <m/>
    <x v="285"/>
  </r>
  <r>
    <s v="USR-101276"/>
    <d v="2025-03-03T00:00:00"/>
    <x v="1"/>
    <x v="2"/>
    <s v="Mobile"/>
    <x v="3"/>
    <x v="1"/>
    <x v="1"/>
    <x v="1"/>
    <x v="0"/>
    <x v="0"/>
    <x v="0"/>
    <x v="0"/>
    <x v="0"/>
    <m/>
    <x v="505"/>
  </r>
  <r>
    <s v="USR-101277"/>
    <d v="2025-05-27T00:00:00"/>
    <x v="1"/>
    <x v="0"/>
    <s v="Desktop"/>
    <x v="3"/>
    <x v="1"/>
    <x v="1"/>
    <x v="1"/>
    <x v="1"/>
    <x v="0"/>
    <x v="0"/>
    <x v="0"/>
    <x v="0"/>
    <m/>
    <x v="145"/>
  </r>
  <r>
    <s v="USR-101278"/>
    <d v="2025-04-23T00:00:00"/>
    <x v="1"/>
    <x v="1"/>
    <s v="Desktop"/>
    <x v="1"/>
    <x v="0"/>
    <x v="1"/>
    <x v="0"/>
    <x v="0"/>
    <x v="0"/>
    <x v="0"/>
    <x v="0"/>
    <x v="0"/>
    <m/>
    <x v="145"/>
  </r>
  <r>
    <s v="USR-101279"/>
    <d v="2025-02-10T00:00:00"/>
    <x v="1"/>
    <x v="2"/>
    <s v="Desktop"/>
    <x v="4"/>
    <x v="1"/>
    <x v="0"/>
    <x v="0"/>
    <x v="0"/>
    <x v="0"/>
    <x v="0"/>
    <x v="0"/>
    <x v="0"/>
    <m/>
    <x v="143"/>
  </r>
  <r>
    <s v="USR-101280"/>
    <d v="2025-02-11T00:00:00"/>
    <x v="1"/>
    <x v="0"/>
    <s v="Mobile"/>
    <x v="1"/>
    <x v="1"/>
    <x v="0"/>
    <x v="0"/>
    <x v="0"/>
    <x v="0"/>
    <x v="0"/>
    <x v="0"/>
    <x v="0"/>
    <m/>
    <x v="234"/>
  </r>
  <r>
    <s v="USR-101281"/>
    <d v="2025-01-21T00:00:00"/>
    <x v="1"/>
    <x v="2"/>
    <s v="Desktop"/>
    <x v="2"/>
    <x v="1"/>
    <x v="1"/>
    <x v="1"/>
    <x v="1"/>
    <x v="0"/>
    <x v="0"/>
    <x v="0"/>
    <x v="0"/>
    <m/>
    <x v="506"/>
  </r>
  <r>
    <s v="USR-101282"/>
    <d v="2025-02-02T00:00:00"/>
    <x v="1"/>
    <x v="1"/>
    <s v="Desktop"/>
    <x v="4"/>
    <x v="1"/>
    <x v="1"/>
    <x v="1"/>
    <x v="0"/>
    <x v="0"/>
    <x v="0"/>
    <x v="0"/>
    <x v="0"/>
    <m/>
    <x v="149"/>
  </r>
  <r>
    <s v="USR-101283"/>
    <d v="2025-02-02T00:00:00"/>
    <x v="1"/>
    <x v="1"/>
    <s v="Mobile"/>
    <x v="1"/>
    <x v="1"/>
    <x v="0"/>
    <x v="0"/>
    <x v="0"/>
    <x v="0"/>
    <x v="0"/>
    <x v="1"/>
    <x v="0"/>
    <m/>
    <x v="266"/>
  </r>
  <r>
    <s v="USR-101284"/>
    <d v="2025-02-26T00:00:00"/>
    <x v="1"/>
    <x v="1"/>
    <s v="Tablet"/>
    <x v="4"/>
    <x v="1"/>
    <x v="1"/>
    <x v="1"/>
    <x v="1"/>
    <x v="0"/>
    <x v="0"/>
    <x v="0"/>
    <x v="0"/>
    <m/>
    <x v="450"/>
  </r>
  <r>
    <s v="USR-101285"/>
    <d v="2025-04-22T00:00:00"/>
    <x v="1"/>
    <x v="0"/>
    <s v="Mobile"/>
    <x v="4"/>
    <x v="2"/>
    <x v="1"/>
    <x v="0"/>
    <x v="0"/>
    <x v="0"/>
    <x v="0"/>
    <x v="0"/>
    <x v="0"/>
    <m/>
    <x v="429"/>
  </r>
  <r>
    <s v="USR-101286"/>
    <d v="2025-03-11T00:00:00"/>
    <x v="1"/>
    <x v="0"/>
    <s v="Desktop"/>
    <x v="1"/>
    <x v="0"/>
    <x v="0"/>
    <x v="0"/>
    <x v="0"/>
    <x v="0"/>
    <x v="0"/>
    <x v="2"/>
    <x v="0"/>
    <m/>
    <x v="352"/>
  </r>
  <r>
    <s v="USR-101287"/>
    <d v="2025-05-08T00:00:00"/>
    <x v="1"/>
    <x v="3"/>
    <s v="Mobile"/>
    <x v="1"/>
    <x v="2"/>
    <x v="1"/>
    <x v="0"/>
    <x v="0"/>
    <x v="0"/>
    <x v="0"/>
    <x v="1"/>
    <x v="0"/>
    <m/>
    <x v="145"/>
  </r>
  <r>
    <s v="USR-101288"/>
    <d v="2025-03-10T00:00:00"/>
    <x v="1"/>
    <x v="2"/>
    <s v="Desktop"/>
    <x v="1"/>
    <x v="1"/>
    <x v="0"/>
    <x v="0"/>
    <x v="0"/>
    <x v="0"/>
    <x v="0"/>
    <x v="0"/>
    <x v="0"/>
    <m/>
    <x v="300"/>
  </r>
  <r>
    <s v="USR-101289"/>
    <d v="2025-04-16T00:00:00"/>
    <x v="1"/>
    <x v="2"/>
    <s v="Desktop"/>
    <x v="2"/>
    <x v="1"/>
    <x v="1"/>
    <x v="1"/>
    <x v="1"/>
    <x v="0"/>
    <x v="0"/>
    <x v="1"/>
    <x v="0"/>
    <m/>
    <x v="164"/>
  </r>
  <r>
    <s v="USR-101290"/>
    <d v="2025-03-01T00:00:00"/>
    <x v="1"/>
    <x v="1"/>
    <s v="Tablet"/>
    <x v="1"/>
    <x v="0"/>
    <x v="1"/>
    <x v="0"/>
    <x v="0"/>
    <x v="0"/>
    <x v="0"/>
    <x v="0"/>
    <x v="0"/>
    <m/>
    <x v="507"/>
  </r>
  <r>
    <s v="USR-101291"/>
    <d v="2025-01-18T00:00:00"/>
    <x v="1"/>
    <x v="3"/>
    <s v="Desktop"/>
    <x v="1"/>
    <x v="2"/>
    <x v="1"/>
    <x v="0"/>
    <x v="0"/>
    <x v="0"/>
    <x v="0"/>
    <x v="0"/>
    <x v="0"/>
    <m/>
    <x v="365"/>
  </r>
  <r>
    <s v="USR-101292"/>
    <d v="2025-03-30T00:00:00"/>
    <x v="1"/>
    <x v="0"/>
    <s v="Mobile"/>
    <x v="2"/>
    <x v="1"/>
    <x v="0"/>
    <x v="0"/>
    <x v="0"/>
    <x v="0"/>
    <x v="0"/>
    <x v="0"/>
    <x v="0"/>
    <m/>
    <x v="441"/>
  </r>
  <r>
    <s v="USR-101293"/>
    <d v="2025-05-26T00:00:00"/>
    <x v="1"/>
    <x v="1"/>
    <s v="Mobile"/>
    <x v="4"/>
    <x v="2"/>
    <x v="0"/>
    <x v="0"/>
    <x v="0"/>
    <x v="0"/>
    <x v="0"/>
    <x v="0"/>
    <x v="0"/>
    <m/>
    <x v="90"/>
  </r>
  <r>
    <s v="USR-101294"/>
    <d v="2025-03-19T00:00:00"/>
    <x v="1"/>
    <x v="2"/>
    <s v="Desktop"/>
    <x v="4"/>
    <x v="1"/>
    <x v="0"/>
    <x v="0"/>
    <x v="0"/>
    <x v="0"/>
    <x v="0"/>
    <x v="0"/>
    <x v="0"/>
    <m/>
    <x v="493"/>
  </r>
  <r>
    <s v="USR-101295"/>
    <d v="2025-03-28T00:00:00"/>
    <x v="1"/>
    <x v="0"/>
    <s v="Desktop"/>
    <x v="3"/>
    <x v="1"/>
    <x v="1"/>
    <x v="0"/>
    <x v="0"/>
    <x v="0"/>
    <x v="0"/>
    <x v="0"/>
    <x v="0"/>
    <m/>
    <x v="508"/>
  </r>
  <r>
    <s v="USR-101296"/>
    <d v="2025-05-28T00:00:00"/>
    <x v="1"/>
    <x v="3"/>
    <s v="Desktop"/>
    <x v="4"/>
    <x v="1"/>
    <x v="1"/>
    <x v="0"/>
    <x v="0"/>
    <x v="0"/>
    <x v="0"/>
    <x v="0"/>
    <x v="0"/>
    <m/>
    <x v="415"/>
  </r>
  <r>
    <s v="USR-101297"/>
    <d v="2025-05-31T00:00:00"/>
    <x v="1"/>
    <x v="3"/>
    <s v="Desktop"/>
    <x v="3"/>
    <x v="2"/>
    <x v="1"/>
    <x v="1"/>
    <x v="1"/>
    <x v="1"/>
    <x v="66"/>
    <x v="0"/>
    <x v="0"/>
    <n v="7"/>
    <x v="61"/>
  </r>
  <r>
    <s v="USR-101298"/>
    <d v="2025-05-10T00:00:00"/>
    <x v="1"/>
    <x v="0"/>
    <s v="Mobile"/>
    <x v="3"/>
    <x v="1"/>
    <x v="0"/>
    <x v="0"/>
    <x v="0"/>
    <x v="0"/>
    <x v="0"/>
    <x v="1"/>
    <x v="0"/>
    <m/>
    <x v="443"/>
  </r>
  <r>
    <s v="USR-101299"/>
    <d v="2025-05-17T00:00:00"/>
    <x v="1"/>
    <x v="1"/>
    <s v="Mobile"/>
    <x v="1"/>
    <x v="1"/>
    <x v="0"/>
    <x v="0"/>
    <x v="0"/>
    <x v="0"/>
    <x v="0"/>
    <x v="3"/>
    <x v="0"/>
    <m/>
    <x v="103"/>
  </r>
  <r>
    <s v="USR-101300"/>
    <d v="2025-01-18T00:00:00"/>
    <x v="1"/>
    <x v="3"/>
    <s v="Mobile"/>
    <x v="1"/>
    <x v="2"/>
    <x v="1"/>
    <x v="0"/>
    <x v="0"/>
    <x v="0"/>
    <x v="0"/>
    <x v="0"/>
    <x v="0"/>
    <m/>
    <x v="394"/>
  </r>
  <r>
    <s v="USR-101301"/>
    <d v="2025-05-04T00:00:00"/>
    <x v="1"/>
    <x v="1"/>
    <s v="Mobile"/>
    <x v="4"/>
    <x v="1"/>
    <x v="1"/>
    <x v="0"/>
    <x v="0"/>
    <x v="0"/>
    <x v="0"/>
    <x v="0"/>
    <x v="0"/>
    <m/>
    <x v="296"/>
  </r>
  <r>
    <s v="USR-101302"/>
    <d v="2025-03-25T00:00:00"/>
    <x v="1"/>
    <x v="0"/>
    <s v="Mobile"/>
    <x v="1"/>
    <x v="1"/>
    <x v="1"/>
    <x v="0"/>
    <x v="0"/>
    <x v="0"/>
    <x v="0"/>
    <x v="2"/>
    <x v="0"/>
    <m/>
    <x v="225"/>
  </r>
  <r>
    <s v="USR-101303"/>
    <d v="2025-02-27T00:00:00"/>
    <x v="1"/>
    <x v="0"/>
    <s v="Mobile"/>
    <x v="4"/>
    <x v="0"/>
    <x v="1"/>
    <x v="1"/>
    <x v="1"/>
    <x v="0"/>
    <x v="0"/>
    <x v="0"/>
    <x v="0"/>
    <m/>
    <x v="95"/>
  </r>
  <r>
    <s v="USR-101304"/>
    <d v="2025-01-14T00:00:00"/>
    <x v="1"/>
    <x v="1"/>
    <s v="Mobile"/>
    <x v="2"/>
    <x v="0"/>
    <x v="1"/>
    <x v="1"/>
    <x v="1"/>
    <x v="0"/>
    <x v="0"/>
    <x v="0"/>
    <x v="0"/>
    <m/>
    <x v="369"/>
  </r>
  <r>
    <s v="USR-101305"/>
    <d v="2025-04-11T00:00:00"/>
    <x v="1"/>
    <x v="2"/>
    <s v="Mobile"/>
    <x v="4"/>
    <x v="1"/>
    <x v="0"/>
    <x v="0"/>
    <x v="0"/>
    <x v="0"/>
    <x v="0"/>
    <x v="1"/>
    <x v="0"/>
    <m/>
    <x v="330"/>
  </r>
  <r>
    <s v="USR-101306"/>
    <d v="2025-03-26T00:00:00"/>
    <x v="1"/>
    <x v="2"/>
    <s v="Desktop"/>
    <x v="4"/>
    <x v="0"/>
    <x v="0"/>
    <x v="0"/>
    <x v="0"/>
    <x v="0"/>
    <x v="0"/>
    <x v="0"/>
    <x v="0"/>
    <m/>
    <x v="376"/>
  </r>
  <r>
    <s v="USR-101307"/>
    <d v="2025-02-12T00:00:00"/>
    <x v="1"/>
    <x v="1"/>
    <s v="Desktop"/>
    <x v="4"/>
    <x v="1"/>
    <x v="1"/>
    <x v="0"/>
    <x v="0"/>
    <x v="0"/>
    <x v="0"/>
    <x v="0"/>
    <x v="0"/>
    <m/>
    <x v="9"/>
  </r>
  <r>
    <s v="USR-101308"/>
    <d v="2025-02-18T00:00:00"/>
    <x v="1"/>
    <x v="1"/>
    <s v="Tablet"/>
    <x v="2"/>
    <x v="0"/>
    <x v="1"/>
    <x v="0"/>
    <x v="0"/>
    <x v="0"/>
    <x v="0"/>
    <x v="0"/>
    <x v="0"/>
    <m/>
    <x v="225"/>
  </r>
  <r>
    <s v="USR-101309"/>
    <d v="2025-05-25T00:00:00"/>
    <x v="1"/>
    <x v="2"/>
    <s v="Desktop"/>
    <x v="4"/>
    <x v="1"/>
    <x v="1"/>
    <x v="1"/>
    <x v="1"/>
    <x v="0"/>
    <x v="0"/>
    <x v="0"/>
    <x v="0"/>
    <m/>
    <x v="138"/>
  </r>
  <r>
    <s v="USR-101310"/>
    <d v="2025-05-23T00:00:00"/>
    <x v="1"/>
    <x v="2"/>
    <s v="Desktop"/>
    <x v="2"/>
    <x v="0"/>
    <x v="1"/>
    <x v="0"/>
    <x v="0"/>
    <x v="0"/>
    <x v="0"/>
    <x v="0"/>
    <x v="0"/>
    <m/>
    <x v="234"/>
  </r>
  <r>
    <s v="USR-101311"/>
    <d v="2025-01-16T00:00:00"/>
    <x v="1"/>
    <x v="0"/>
    <s v="Desktop"/>
    <x v="1"/>
    <x v="1"/>
    <x v="1"/>
    <x v="1"/>
    <x v="1"/>
    <x v="1"/>
    <x v="67"/>
    <x v="0"/>
    <x v="0"/>
    <n v="9"/>
    <x v="509"/>
  </r>
  <r>
    <s v="USR-101312"/>
    <d v="2025-01-19T00:00:00"/>
    <x v="1"/>
    <x v="1"/>
    <s v="Desktop"/>
    <x v="0"/>
    <x v="0"/>
    <x v="0"/>
    <x v="0"/>
    <x v="0"/>
    <x v="0"/>
    <x v="0"/>
    <x v="0"/>
    <x v="0"/>
    <m/>
    <x v="449"/>
  </r>
  <r>
    <s v="USR-101313"/>
    <d v="2025-05-18T00:00:00"/>
    <x v="1"/>
    <x v="3"/>
    <s v="Mobile"/>
    <x v="3"/>
    <x v="1"/>
    <x v="0"/>
    <x v="0"/>
    <x v="0"/>
    <x v="0"/>
    <x v="0"/>
    <x v="1"/>
    <x v="0"/>
    <m/>
    <x v="510"/>
  </r>
  <r>
    <s v="USR-101314"/>
    <d v="2025-01-23T00:00:00"/>
    <x v="1"/>
    <x v="2"/>
    <s v="Tablet"/>
    <x v="4"/>
    <x v="2"/>
    <x v="1"/>
    <x v="0"/>
    <x v="0"/>
    <x v="0"/>
    <x v="0"/>
    <x v="0"/>
    <x v="0"/>
    <m/>
    <x v="511"/>
  </r>
  <r>
    <s v="USR-101315"/>
    <d v="2025-01-08T00:00:00"/>
    <x v="1"/>
    <x v="2"/>
    <s v="Tablet"/>
    <x v="5"/>
    <x v="2"/>
    <x v="1"/>
    <x v="1"/>
    <x v="1"/>
    <x v="0"/>
    <x v="0"/>
    <x v="1"/>
    <x v="0"/>
    <m/>
    <x v="100"/>
  </r>
  <r>
    <s v="USR-101316"/>
    <d v="2025-02-19T00:00:00"/>
    <x v="1"/>
    <x v="0"/>
    <s v="Mobile"/>
    <x v="1"/>
    <x v="2"/>
    <x v="0"/>
    <x v="0"/>
    <x v="0"/>
    <x v="0"/>
    <x v="0"/>
    <x v="0"/>
    <x v="0"/>
    <m/>
    <x v="103"/>
  </r>
  <r>
    <s v="USR-101317"/>
    <d v="2025-02-10T00:00:00"/>
    <x v="1"/>
    <x v="3"/>
    <s v="Mobile"/>
    <x v="1"/>
    <x v="1"/>
    <x v="1"/>
    <x v="0"/>
    <x v="0"/>
    <x v="0"/>
    <x v="0"/>
    <x v="0"/>
    <x v="0"/>
    <m/>
    <x v="512"/>
  </r>
  <r>
    <s v="USR-101318"/>
    <d v="2025-04-13T00:00:00"/>
    <x v="1"/>
    <x v="3"/>
    <s v="Mobile"/>
    <x v="2"/>
    <x v="1"/>
    <x v="1"/>
    <x v="0"/>
    <x v="0"/>
    <x v="0"/>
    <x v="0"/>
    <x v="0"/>
    <x v="0"/>
    <m/>
    <x v="462"/>
  </r>
  <r>
    <s v="USR-101319"/>
    <d v="2025-05-20T00:00:00"/>
    <x v="1"/>
    <x v="2"/>
    <s v="Mobile"/>
    <x v="1"/>
    <x v="1"/>
    <x v="1"/>
    <x v="1"/>
    <x v="1"/>
    <x v="1"/>
    <x v="68"/>
    <x v="0"/>
    <x v="0"/>
    <n v="9"/>
    <x v="513"/>
  </r>
  <r>
    <s v="USR-101320"/>
    <d v="2025-05-13T00:00:00"/>
    <x v="1"/>
    <x v="3"/>
    <s v="Mobile"/>
    <x v="2"/>
    <x v="0"/>
    <x v="1"/>
    <x v="1"/>
    <x v="0"/>
    <x v="0"/>
    <x v="0"/>
    <x v="1"/>
    <x v="0"/>
    <m/>
    <x v="12"/>
  </r>
  <r>
    <s v="USR-101321"/>
    <d v="2025-05-28T00:00:00"/>
    <x v="1"/>
    <x v="3"/>
    <s v="Desktop"/>
    <x v="2"/>
    <x v="0"/>
    <x v="1"/>
    <x v="0"/>
    <x v="0"/>
    <x v="0"/>
    <x v="0"/>
    <x v="0"/>
    <x v="0"/>
    <m/>
    <x v="159"/>
  </r>
  <r>
    <s v="USR-101322"/>
    <d v="2025-03-19T00:00:00"/>
    <x v="1"/>
    <x v="1"/>
    <s v="Mobile"/>
    <x v="1"/>
    <x v="1"/>
    <x v="1"/>
    <x v="1"/>
    <x v="1"/>
    <x v="1"/>
    <x v="69"/>
    <x v="0"/>
    <x v="0"/>
    <n v="3"/>
    <x v="462"/>
  </r>
  <r>
    <s v="USR-101323"/>
    <d v="2025-02-03T00:00:00"/>
    <x v="1"/>
    <x v="0"/>
    <s v="Mobile"/>
    <x v="0"/>
    <x v="2"/>
    <x v="0"/>
    <x v="0"/>
    <x v="0"/>
    <x v="0"/>
    <x v="0"/>
    <x v="0"/>
    <x v="0"/>
    <m/>
    <x v="514"/>
  </r>
  <r>
    <s v="USR-101324"/>
    <d v="2025-02-26T00:00:00"/>
    <x v="1"/>
    <x v="3"/>
    <s v="Mobile"/>
    <x v="0"/>
    <x v="0"/>
    <x v="1"/>
    <x v="0"/>
    <x v="0"/>
    <x v="0"/>
    <x v="0"/>
    <x v="1"/>
    <x v="0"/>
    <m/>
    <x v="234"/>
  </r>
  <r>
    <s v="USR-101325"/>
    <d v="2025-01-26T00:00:00"/>
    <x v="1"/>
    <x v="1"/>
    <s v="Mobile"/>
    <x v="2"/>
    <x v="1"/>
    <x v="1"/>
    <x v="0"/>
    <x v="0"/>
    <x v="0"/>
    <x v="0"/>
    <x v="0"/>
    <x v="0"/>
    <m/>
    <x v="4"/>
  </r>
  <r>
    <s v="USR-101326"/>
    <d v="2025-05-13T00:00:00"/>
    <x v="1"/>
    <x v="0"/>
    <s v="Mobile"/>
    <x v="1"/>
    <x v="2"/>
    <x v="1"/>
    <x v="0"/>
    <x v="0"/>
    <x v="0"/>
    <x v="0"/>
    <x v="0"/>
    <x v="0"/>
    <m/>
    <x v="446"/>
  </r>
  <r>
    <s v="USR-101327"/>
    <d v="2025-02-02T00:00:00"/>
    <x v="1"/>
    <x v="3"/>
    <s v="Mobile"/>
    <x v="2"/>
    <x v="0"/>
    <x v="0"/>
    <x v="0"/>
    <x v="0"/>
    <x v="0"/>
    <x v="0"/>
    <x v="0"/>
    <x v="0"/>
    <m/>
    <x v="112"/>
  </r>
  <r>
    <s v="USR-101328"/>
    <d v="2025-04-30T00:00:00"/>
    <x v="1"/>
    <x v="1"/>
    <s v="Mobile"/>
    <x v="5"/>
    <x v="0"/>
    <x v="0"/>
    <x v="0"/>
    <x v="0"/>
    <x v="0"/>
    <x v="0"/>
    <x v="0"/>
    <x v="0"/>
    <m/>
    <x v="24"/>
  </r>
  <r>
    <s v="USR-101329"/>
    <d v="2025-03-29T00:00:00"/>
    <x v="1"/>
    <x v="2"/>
    <s v="Mobile"/>
    <x v="1"/>
    <x v="1"/>
    <x v="0"/>
    <x v="0"/>
    <x v="0"/>
    <x v="0"/>
    <x v="0"/>
    <x v="0"/>
    <x v="0"/>
    <m/>
    <x v="159"/>
  </r>
  <r>
    <s v="USR-101330"/>
    <d v="2025-04-09T00:00:00"/>
    <x v="1"/>
    <x v="1"/>
    <s v="Desktop"/>
    <x v="3"/>
    <x v="2"/>
    <x v="1"/>
    <x v="0"/>
    <x v="0"/>
    <x v="0"/>
    <x v="0"/>
    <x v="0"/>
    <x v="0"/>
    <m/>
    <x v="420"/>
  </r>
  <r>
    <s v="USR-101331"/>
    <d v="2025-01-22T00:00:00"/>
    <x v="1"/>
    <x v="3"/>
    <s v="Tablet"/>
    <x v="1"/>
    <x v="1"/>
    <x v="0"/>
    <x v="0"/>
    <x v="0"/>
    <x v="0"/>
    <x v="0"/>
    <x v="0"/>
    <x v="0"/>
    <m/>
    <x v="515"/>
  </r>
  <r>
    <s v="USR-101332"/>
    <d v="2025-01-27T00:00:00"/>
    <x v="1"/>
    <x v="3"/>
    <s v="Mobile"/>
    <x v="1"/>
    <x v="0"/>
    <x v="1"/>
    <x v="0"/>
    <x v="0"/>
    <x v="0"/>
    <x v="0"/>
    <x v="0"/>
    <x v="0"/>
    <m/>
    <x v="179"/>
  </r>
  <r>
    <s v="USR-101333"/>
    <d v="2025-01-22T00:00:00"/>
    <x v="1"/>
    <x v="2"/>
    <s v="Mobile"/>
    <x v="4"/>
    <x v="2"/>
    <x v="1"/>
    <x v="0"/>
    <x v="0"/>
    <x v="0"/>
    <x v="0"/>
    <x v="0"/>
    <x v="0"/>
    <m/>
    <x v="405"/>
  </r>
  <r>
    <s v="USR-101334"/>
    <d v="2025-01-06T00:00:00"/>
    <x v="1"/>
    <x v="1"/>
    <s v="Desktop"/>
    <x v="2"/>
    <x v="1"/>
    <x v="0"/>
    <x v="0"/>
    <x v="0"/>
    <x v="0"/>
    <x v="0"/>
    <x v="0"/>
    <x v="0"/>
    <m/>
    <x v="107"/>
  </r>
  <r>
    <s v="USR-101335"/>
    <d v="2025-04-16T00:00:00"/>
    <x v="1"/>
    <x v="3"/>
    <s v="Unknown"/>
    <x v="1"/>
    <x v="1"/>
    <x v="1"/>
    <x v="0"/>
    <x v="0"/>
    <x v="0"/>
    <x v="0"/>
    <x v="0"/>
    <x v="0"/>
    <m/>
    <x v="516"/>
  </r>
  <r>
    <s v="USR-101336"/>
    <d v="2025-04-14T00:00:00"/>
    <x v="1"/>
    <x v="3"/>
    <s v="Mobile"/>
    <x v="1"/>
    <x v="1"/>
    <x v="1"/>
    <x v="0"/>
    <x v="0"/>
    <x v="0"/>
    <x v="0"/>
    <x v="0"/>
    <x v="0"/>
    <m/>
    <x v="517"/>
  </r>
  <r>
    <s v="USR-101337"/>
    <d v="2025-02-22T00:00:00"/>
    <x v="1"/>
    <x v="1"/>
    <s v="Mobile"/>
    <x v="2"/>
    <x v="0"/>
    <x v="1"/>
    <x v="0"/>
    <x v="0"/>
    <x v="0"/>
    <x v="0"/>
    <x v="0"/>
    <x v="0"/>
    <m/>
    <x v="354"/>
  </r>
  <r>
    <s v="USR-101338"/>
    <d v="2025-03-09T00:00:00"/>
    <x v="1"/>
    <x v="0"/>
    <s v="Mobile"/>
    <x v="1"/>
    <x v="0"/>
    <x v="0"/>
    <x v="0"/>
    <x v="0"/>
    <x v="0"/>
    <x v="0"/>
    <x v="0"/>
    <x v="0"/>
    <m/>
    <x v="494"/>
  </r>
  <r>
    <s v="USR-101339"/>
    <d v="2025-04-20T00:00:00"/>
    <x v="1"/>
    <x v="1"/>
    <s v="Desktop"/>
    <x v="1"/>
    <x v="1"/>
    <x v="1"/>
    <x v="0"/>
    <x v="0"/>
    <x v="0"/>
    <x v="0"/>
    <x v="0"/>
    <x v="0"/>
    <m/>
    <x v="176"/>
  </r>
  <r>
    <s v="USR-101340"/>
    <d v="2025-03-10T00:00:00"/>
    <x v="1"/>
    <x v="3"/>
    <s v="Mobile"/>
    <x v="0"/>
    <x v="1"/>
    <x v="0"/>
    <x v="0"/>
    <x v="0"/>
    <x v="0"/>
    <x v="0"/>
    <x v="0"/>
    <x v="0"/>
    <m/>
    <x v="10"/>
  </r>
  <r>
    <s v="USR-101341"/>
    <d v="2025-02-21T00:00:00"/>
    <x v="1"/>
    <x v="3"/>
    <s v="Mobile"/>
    <x v="0"/>
    <x v="1"/>
    <x v="1"/>
    <x v="1"/>
    <x v="0"/>
    <x v="0"/>
    <x v="0"/>
    <x v="1"/>
    <x v="0"/>
    <m/>
    <x v="221"/>
  </r>
  <r>
    <s v="USR-101342"/>
    <d v="2025-01-06T00:00:00"/>
    <x v="1"/>
    <x v="0"/>
    <s v="Desktop"/>
    <x v="4"/>
    <x v="1"/>
    <x v="1"/>
    <x v="0"/>
    <x v="0"/>
    <x v="0"/>
    <x v="0"/>
    <x v="0"/>
    <x v="0"/>
    <m/>
    <x v="325"/>
  </r>
  <r>
    <s v="USR-101343"/>
    <d v="2025-04-17T00:00:00"/>
    <x v="1"/>
    <x v="3"/>
    <s v="Mobile"/>
    <x v="1"/>
    <x v="2"/>
    <x v="1"/>
    <x v="0"/>
    <x v="0"/>
    <x v="0"/>
    <x v="0"/>
    <x v="0"/>
    <x v="0"/>
    <m/>
    <x v="388"/>
  </r>
  <r>
    <s v="USR-101344"/>
    <d v="2025-05-23T00:00:00"/>
    <x v="1"/>
    <x v="3"/>
    <s v="Mobile"/>
    <x v="0"/>
    <x v="0"/>
    <x v="1"/>
    <x v="1"/>
    <x v="0"/>
    <x v="0"/>
    <x v="0"/>
    <x v="1"/>
    <x v="0"/>
    <m/>
    <x v="222"/>
  </r>
  <r>
    <s v="USR-101345"/>
    <d v="2025-03-14T00:00:00"/>
    <x v="1"/>
    <x v="1"/>
    <s v="Desktop"/>
    <x v="1"/>
    <x v="0"/>
    <x v="1"/>
    <x v="0"/>
    <x v="0"/>
    <x v="0"/>
    <x v="0"/>
    <x v="1"/>
    <x v="0"/>
    <m/>
    <x v="54"/>
  </r>
  <r>
    <s v="USR-101346"/>
    <d v="2025-04-21T00:00:00"/>
    <x v="1"/>
    <x v="0"/>
    <s v="Mobile"/>
    <x v="4"/>
    <x v="2"/>
    <x v="1"/>
    <x v="0"/>
    <x v="0"/>
    <x v="0"/>
    <x v="0"/>
    <x v="0"/>
    <x v="0"/>
    <m/>
    <x v="465"/>
  </r>
  <r>
    <s v="USR-101347"/>
    <d v="2025-01-03T00:00:00"/>
    <x v="1"/>
    <x v="3"/>
    <s v="Mobile"/>
    <x v="4"/>
    <x v="1"/>
    <x v="1"/>
    <x v="1"/>
    <x v="1"/>
    <x v="0"/>
    <x v="0"/>
    <x v="1"/>
    <x v="0"/>
    <m/>
    <x v="413"/>
  </r>
  <r>
    <s v="USR-101348"/>
    <d v="2025-05-09T00:00:00"/>
    <x v="1"/>
    <x v="0"/>
    <s v="Desktop"/>
    <x v="1"/>
    <x v="0"/>
    <x v="1"/>
    <x v="0"/>
    <x v="0"/>
    <x v="0"/>
    <x v="0"/>
    <x v="0"/>
    <x v="0"/>
    <m/>
    <x v="42"/>
  </r>
  <r>
    <s v="USR-101349"/>
    <d v="2025-05-22T00:00:00"/>
    <x v="1"/>
    <x v="3"/>
    <s v="Mobile"/>
    <x v="1"/>
    <x v="0"/>
    <x v="1"/>
    <x v="1"/>
    <x v="1"/>
    <x v="0"/>
    <x v="0"/>
    <x v="1"/>
    <x v="0"/>
    <m/>
    <x v="441"/>
  </r>
  <r>
    <s v="USR-101350"/>
    <d v="2025-05-07T00:00:00"/>
    <x v="1"/>
    <x v="3"/>
    <s v="Desktop"/>
    <x v="2"/>
    <x v="1"/>
    <x v="1"/>
    <x v="1"/>
    <x v="1"/>
    <x v="1"/>
    <x v="70"/>
    <x v="0"/>
    <x v="0"/>
    <n v="6"/>
    <x v="300"/>
  </r>
  <r>
    <s v="USR-101351"/>
    <d v="2025-02-08T00:00:00"/>
    <x v="1"/>
    <x v="2"/>
    <s v="Mobile"/>
    <x v="4"/>
    <x v="1"/>
    <x v="0"/>
    <x v="0"/>
    <x v="0"/>
    <x v="0"/>
    <x v="0"/>
    <x v="1"/>
    <x v="0"/>
    <m/>
    <x v="518"/>
  </r>
  <r>
    <s v="USR-101352"/>
    <d v="2025-04-03T00:00:00"/>
    <x v="1"/>
    <x v="0"/>
    <s v="Tablet"/>
    <x v="4"/>
    <x v="0"/>
    <x v="1"/>
    <x v="0"/>
    <x v="0"/>
    <x v="0"/>
    <x v="0"/>
    <x v="0"/>
    <x v="0"/>
    <m/>
    <x v="212"/>
  </r>
  <r>
    <s v="USR-101353"/>
    <d v="2025-04-17T00:00:00"/>
    <x v="1"/>
    <x v="2"/>
    <s v="Desktop"/>
    <x v="2"/>
    <x v="1"/>
    <x v="1"/>
    <x v="0"/>
    <x v="0"/>
    <x v="0"/>
    <x v="0"/>
    <x v="1"/>
    <x v="0"/>
    <m/>
    <x v="410"/>
  </r>
  <r>
    <s v="USR-101354"/>
    <d v="2025-05-04T00:00:00"/>
    <x v="1"/>
    <x v="2"/>
    <s v="Mobile"/>
    <x v="1"/>
    <x v="1"/>
    <x v="0"/>
    <x v="0"/>
    <x v="0"/>
    <x v="0"/>
    <x v="0"/>
    <x v="0"/>
    <x v="0"/>
    <m/>
    <x v="67"/>
  </r>
  <r>
    <s v="USR-101355"/>
    <d v="2025-05-11T00:00:00"/>
    <x v="1"/>
    <x v="1"/>
    <s v="Desktop"/>
    <x v="1"/>
    <x v="1"/>
    <x v="1"/>
    <x v="0"/>
    <x v="0"/>
    <x v="0"/>
    <x v="0"/>
    <x v="0"/>
    <x v="0"/>
    <m/>
    <x v="99"/>
  </r>
  <r>
    <s v="USR-101356"/>
    <d v="2025-03-01T00:00:00"/>
    <x v="1"/>
    <x v="0"/>
    <s v="Desktop"/>
    <x v="5"/>
    <x v="1"/>
    <x v="1"/>
    <x v="1"/>
    <x v="1"/>
    <x v="0"/>
    <x v="0"/>
    <x v="0"/>
    <x v="0"/>
    <m/>
    <x v="329"/>
  </r>
  <r>
    <s v="USR-101357"/>
    <d v="2025-02-20T00:00:00"/>
    <x v="1"/>
    <x v="1"/>
    <s v="Desktop"/>
    <x v="1"/>
    <x v="1"/>
    <x v="1"/>
    <x v="0"/>
    <x v="0"/>
    <x v="0"/>
    <x v="0"/>
    <x v="1"/>
    <x v="0"/>
    <m/>
    <x v="383"/>
  </r>
  <r>
    <s v="USR-101358"/>
    <d v="2025-05-09T00:00:00"/>
    <x v="1"/>
    <x v="1"/>
    <s v="Mobile"/>
    <x v="4"/>
    <x v="1"/>
    <x v="1"/>
    <x v="0"/>
    <x v="0"/>
    <x v="0"/>
    <x v="0"/>
    <x v="0"/>
    <x v="0"/>
    <m/>
    <x v="10"/>
  </r>
  <r>
    <s v="USR-101359"/>
    <d v="2025-04-30T00:00:00"/>
    <x v="1"/>
    <x v="1"/>
    <s v="Mobile"/>
    <x v="1"/>
    <x v="1"/>
    <x v="1"/>
    <x v="0"/>
    <x v="0"/>
    <x v="0"/>
    <x v="0"/>
    <x v="0"/>
    <x v="0"/>
    <m/>
    <x v="247"/>
  </r>
  <r>
    <s v="USR-101360"/>
    <d v="2025-01-07T00:00:00"/>
    <x v="1"/>
    <x v="3"/>
    <s v="Mobile"/>
    <x v="4"/>
    <x v="0"/>
    <x v="0"/>
    <x v="0"/>
    <x v="0"/>
    <x v="0"/>
    <x v="0"/>
    <x v="0"/>
    <x v="0"/>
    <m/>
    <x v="17"/>
  </r>
  <r>
    <s v="USR-101361"/>
    <d v="2025-04-30T00:00:00"/>
    <x v="1"/>
    <x v="0"/>
    <s v="Mobile"/>
    <x v="4"/>
    <x v="0"/>
    <x v="1"/>
    <x v="0"/>
    <x v="0"/>
    <x v="0"/>
    <x v="0"/>
    <x v="0"/>
    <x v="0"/>
    <m/>
    <x v="335"/>
  </r>
  <r>
    <s v="USR-101362"/>
    <d v="2025-05-23T00:00:00"/>
    <x v="1"/>
    <x v="2"/>
    <s v="Mobile"/>
    <x v="1"/>
    <x v="0"/>
    <x v="1"/>
    <x v="0"/>
    <x v="0"/>
    <x v="0"/>
    <x v="0"/>
    <x v="0"/>
    <x v="0"/>
    <m/>
    <x v="519"/>
  </r>
  <r>
    <s v="USR-101363"/>
    <d v="2025-03-12T00:00:00"/>
    <x v="1"/>
    <x v="3"/>
    <s v="Mobile"/>
    <x v="2"/>
    <x v="2"/>
    <x v="1"/>
    <x v="1"/>
    <x v="1"/>
    <x v="0"/>
    <x v="0"/>
    <x v="0"/>
    <x v="0"/>
    <m/>
    <x v="520"/>
  </r>
  <r>
    <s v="USR-101364"/>
    <d v="2025-02-17T00:00:00"/>
    <x v="1"/>
    <x v="0"/>
    <s v="Mobile"/>
    <x v="1"/>
    <x v="2"/>
    <x v="1"/>
    <x v="0"/>
    <x v="0"/>
    <x v="0"/>
    <x v="0"/>
    <x v="0"/>
    <x v="0"/>
    <m/>
    <x v="360"/>
  </r>
  <r>
    <s v="USR-101365"/>
    <d v="2025-05-27T00:00:00"/>
    <x v="1"/>
    <x v="0"/>
    <s v="Desktop"/>
    <x v="1"/>
    <x v="0"/>
    <x v="0"/>
    <x v="0"/>
    <x v="0"/>
    <x v="0"/>
    <x v="0"/>
    <x v="0"/>
    <x v="0"/>
    <m/>
    <x v="421"/>
  </r>
  <r>
    <s v="USR-101366"/>
    <d v="2025-05-10T00:00:00"/>
    <x v="1"/>
    <x v="3"/>
    <s v="Mobile"/>
    <x v="4"/>
    <x v="2"/>
    <x v="1"/>
    <x v="0"/>
    <x v="0"/>
    <x v="0"/>
    <x v="0"/>
    <x v="2"/>
    <x v="0"/>
    <m/>
    <x v="208"/>
  </r>
  <r>
    <s v="USR-101367"/>
    <d v="2025-01-20T00:00:00"/>
    <x v="1"/>
    <x v="0"/>
    <s v="Mobile"/>
    <x v="1"/>
    <x v="0"/>
    <x v="1"/>
    <x v="1"/>
    <x v="0"/>
    <x v="0"/>
    <x v="0"/>
    <x v="2"/>
    <x v="0"/>
    <m/>
    <x v="68"/>
  </r>
  <r>
    <s v="USR-101368"/>
    <d v="2025-01-19T00:00:00"/>
    <x v="1"/>
    <x v="2"/>
    <s v="Mobile"/>
    <x v="3"/>
    <x v="1"/>
    <x v="1"/>
    <x v="0"/>
    <x v="0"/>
    <x v="0"/>
    <x v="0"/>
    <x v="0"/>
    <x v="0"/>
    <m/>
    <x v="254"/>
  </r>
  <r>
    <s v="USR-101369"/>
    <d v="2025-03-07T00:00:00"/>
    <x v="1"/>
    <x v="1"/>
    <s v="Desktop"/>
    <x v="2"/>
    <x v="0"/>
    <x v="1"/>
    <x v="1"/>
    <x v="0"/>
    <x v="0"/>
    <x v="0"/>
    <x v="0"/>
    <x v="0"/>
    <m/>
    <x v="20"/>
  </r>
  <r>
    <s v="USR-101370"/>
    <d v="2025-02-02T00:00:00"/>
    <x v="1"/>
    <x v="2"/>
    <s v="Mobile"/>
    <x v="1"/>
    <x v="1"/>
    <x v="0"/>
    <x v="0"/>
    <x v="0"/>
    <x v="0"/>
    <x v="0"/>
    <x v="1"/>
    <x v="0"/>
    <m/>
    <x v="76"/>
  </r>
  <r>
    <s v="USR-101371"/>
    <d v="2025-03-07T00:00:00"/>
    <x v="1"/>
    <x v="0"/>
    <s v="Mobile"/>
    <x v="1"/>
    <x v="1"/>
    <x v="0"/>
    <x v="0"/>
    <x v="0"/>
    <x v="0"/>
    <x v="0"/>
    <x v="1"/>
    <x v="0"/>
    <m/>
    <x v="521"/>
  </r>
  <r>
    <s v="USR-101372"/>
    <d v="2025-03-30T00:00:00"/>
    <x v="1"/>
    <x v="2"/>
    <s v="Desktop"/>
    <x v="1"/>
    <x v="1"/>
    <x v="1"/>
    <x v="1"/>
    <x v="1"/>
    <x v="0"/>
    <x v="0"/>
    <x v="0"/>
    <x v="0"/>
    <m/>
    <x v="124"/>
  </r>
  <r>
    <s v="USR-101373"/>
    <d v="2025-05-05T00:00:00"/>
    <x v="1"/>
    <x v="2"/>
    <s v="Desktop"/>
    <x v="2"/>
    <x v="1"/>
    <x v="1"/>
    <x v="1"/>
    <x v="1"/>
    <x v="0"/>
    <x v="0"/>
    <x v="0"/>
    <x v="0"/>
    <m/>
    <x v="115"/>
  </r>
  <r>
    <s v="USR-101374"/>
    <d v="2025-04-11T00:00:00"/>
    <x v="1"/>
    <x v="3"/>
    <s v="Mobile"/>
    <x v="4"/>
    <x v="1"/>
    <x v="1"/>
    <x v="0"/>
    <x v="0"/>
    <x v="0"/>
    <x v="0"/>
    <x v="0"/>
    <x v="0"/>
    <m/>
    <x v="522"/>
  </r>
  <r>
    <s v="USR-101375"/>
    <d v="2025-03-25T00:00:00"/>
    <x v="1"/>
    <x v="1"/>
    <s v="Desktop"/>
    <x v="0"/>
    <x v="2"/>
    <x v="1"/>
    <x v="0"/>
    <x v="0"/>
    <x v="0"/>
    <x v="0"/>
    <x v="0"/>
    <x v="0"/>
    <m/>
    <x v="235"/>
  </r>
  <r>
    <s v="USR-101376"/>
    <d v="2025-03-24T00:00:00"/>
    <x v="1"/>
    <x v="0"/>
    <s v="Mobile"/>
    <x v="1"/>
    <x v="2"/>
    <x v="1"/>
    <x v="0"/>
    <x v="0"/>
    <x v="0"/>
    <x v="0"/>
    <x v="0"/>
    <x v="0"/>
    <m/>
    <x v="205"/>
  </r>
  <r>
    <s v="USR-101377"/>
    <d v="2025-04-27T00:00:00"/>
    <x v="1"/>
    <x v="2"/>
    <s v="Mobile"/>
    <x v="1"/>
    <x v="0"/>
    <x v="0"/>
    <x v="0"/>
    <x v="0"/>
    <x v="0"/>
    <x v="0"/>
    <x v="0"/>
    <x v="0"/>
    <m/>
    <x v="158"/>
  </r>
  <r>
    <s v="USR-101378"/>
    <d v="2025-01-25T00:00:00"/>
    <x v="1"/>
    <x v="0"/>
    <s v="Desktop"/>
    <x v="2"/>
    <x v="1"/>
    <x v="1"/>
    <x v="0"/>
    <x v="0"/>
    <x v="0"/>
    <x v="0"/>
    <x v="0"/>
    <x v="0"/>
    <m/>
    <x v="523"/>
  </r>
  <r>
    <s v="USR-101379"/>
    <d v="2025-02-17T00:00:00"/>
    <x v="1"/>
    <x v="0"/>
    <s v="Tablet"/>
    <x v="4"/>
    <x v="0"/>
    <x v="1"/>
    <x v="1"/>
    <x v="1"/>
    <x v="1"/>
    <x v="71"/>
    <x v="0"/>
    <x v="0"/>
    <n v="9"/>
    <x v="524"/>
  </r>
  <r>
    <s v="USR-101380"/>
    <d v="2025-04-13T00:00:00"/>
    <x v="1"/>
    <x v="3"/>
    <s v="Desktop"/>
    <x v="1"/>
    <x v="1"/>
    <x v="1"/>
    <x v="0"/>
    <x v="0"/>
    <x v="0"/>
    <x v="0"/>
    <x v="0"/>
    <x v="0"/>
    <m/>
    <x v="410"/>
  </r>
  <r>
    <s v="USR-101381"/>
    <d v="2025-05-03T00:00:00"/>
    <x v="1"/>
    <x v="1"/>
    <s v="Desktop"/>
    <x v="2"/>
    <x v="2"/>
    <x v="1"/>
    <x v="0"/>
    <x v="0"/>
    <x v="0"/>
    <x v="0"/>
    <x v="0"/>
    <x v="0"/>
    <m/>
    <x v="497"/>
  </r>
  <r>
    <s v="USR-101382"/>
    <d v="2025-04-29T00:00:00"/>
    <x v="1"/>
    <x v="1"/>
    <s v="Mobile"/>
    <x v="0"/>
    <x v="1"/>
    <x v="1"/>
    <x v="0"/>
    <x v="0"/>
    <x v="0"/>
    <x v="0"/>
    <x v="0"/>
    <x v="0"/>
    <m/>
    <x v="160"/>
  </r>
  <r>
    <s v="USR-101383"/>
    <d v="2025-05-03T00:00:00"/>
    <x v="1"/>
    <x v="2"/>
    <s v="Desktop"/>
    <x v="2"/>
    <x v="1"/>
    <x v="1"/>
    <x v="0"/>
    <x v="0"/>
    <x v="0"/>
    <x v="0"/>
    <x v="0"/>
    <x v="0"/>
    <m/>
    <x v="360"/>
  </r>
  <r>
    <s v="USR-101384"/>
    <d v="2025-04-28T00:00:00"/>
    <x v="1"/>
    <x v="1"/>
    <s v="Mobile"/>
    <x v="2"/>
    <x v="1"/>
    <x v="0"/>
    <x v="0"/>
    <x v="0"/>
    <x v="0"/>
    <x v="0"/>
    <x v="0"/>
    <x v="0"/>
    <m/>
    <x v="286"/>
  </r>
  <r>
    <s v="USR-101385"/>
    <d v="2025-01-21T00:00:00"/>
    <x v="1"/>
    <x v="1"/>
    <s v="Mobile"/>
    <x v="1"/>
    <x v="1"/>
    <x v="1"/>
    <x v="0"/>
    <x v="0"/>
    <x v="0"/>
    <x v="0"/>
    <x v="2"/>
    <x v="0"/>
    <m/>
    <x v="26"/>
  </r>
  <r>
    <s v="USR-101386"/>
    <d v="2025-01-21T00:00:00"/>
    <x v="1"/>
    <x v="0"/>
    <s v="Tablet"/>
    <x v="2"/>
    <x v="0"/>
    <x v="0"/>
    <x v="0"/>
    <x v="0"/>
    <x v="0"/>
    <x v="0"/>
    <x v="1"/>
    <x v="0"/>
    <m/>
    <x v="118"/>
  </r>
  <r>
    <s v="USR-101387"/>
    <d v="2025-05-21T00:00:00"/>
    <x v="1"/>
    <x v="1"/>
    <s v="Desktop"/>
    <x v="2"/>
    <x v="1"/>
    <x v="1"/>
    <x v="0"/>
    <x v="0"/>
    <x v="0"/>
    <x v="0"/>
    <x v="2"/>
    <x v="0"/>
    <m/>
    <x v="51"/>
  </r>
  <r>
    <s v="USR-101388"/>
    <d v="2025-01-05T00:00:00"/>
    <x v="1"/>
    <x v="0"/>
    <s v="Mobile"/>
    <x v="3"/>
    <x v="1"/>
    <x v="0"/>
    <x v="0"/>
    <x v="0"/>
    <x v="0"/>
    <x v="0"/>
    <x v="0"/>
    <x v="0"/>
    <m/>
    <x v="146"/>
  </r>
  <r>
    <s v="USR-101389"/>
    <d v="2025-03-06T00:00:00"/>
    <x v="1"/>
    <x v="3"/>
    <s v="Desktop"/>
    <x v="1"/>
    <x v="1"/>
    <x v="1"/>
    <x v="0"/>
    <x v="0"/>
    <x v="0"/>
    <x v="0"/>
    <x v="0"/>
    <x v="0"/>
    <m/>
    <x v="233"/>
  </r>
  <r>
    <s v="USR-101390"/>
    <d v="2025-04-18T00:00:00"/>
    <x v="1"/>
    <x v="0"/>
    <s v="Mobile"/>
    <x v="2"/>
    <x v="1"/>
    <x v="1"/>
    <x v="0"/>
    <x v="0"/>
    <x v="0"/>
    <x v="0"/>
    <x v="3"/>
    <x v="0"/>
    <m/>
    <x v="126"/>
  </r>
  <r>
    <s v="USR-101391"/>
    <d v="2025-04-15T00:00:00"/>
    <x v="1"/>
    <x v="1"/>
    <s v="Mobile"/>
    <x v="1"/>
    <x v="0"/>
    <x v="1"/>
    <x v="1"/>
    <x v="1"/>
    <x v="0"/>
    <x v="0"/>
    <x v="0"/>
    <x v="0"/>
    <m/>
    <x v="525"/>
  </r>
  <r>
    <s v="USR-101392"/>
    <d v="2025-02-10T00:00:00"/>
    <x v="1"/>
    <x v="2"/>
    <s v="Mobile"/>
    <x v="2"/>
    <x v="1"/>
    <x v="1"/>
    <x v="0"/>
    <x v="0"/>
    <x v="0"/>
    <x v="0"/>
    <x v="0"/>
    <x v="0"/>
    <m/>
    <x v="516"/>
  </r>
  <r>
    <s v="USR-101393"/>
    <d v="2025-05-08T00:00:00"/>
    <x v="1"/>
    <x v="2"/>
    <s v="Mobile"/>
    <x v="1"/>
    <x v="1"/>
    <x v="1"/>
    <x v="0"/>
    <x v="0"/>
    <x v="0"/>
    <x v="0"/>
    <x v="0"/>
    <x v="0"/>
    <m/>
    <x v="22"/>
  </r>
  <r>
    <s v="USR-101394"/>
    <d v="2025-05-28T00:00:00"/>
    <x v="1"/>
    <x v="2"/>
    <s v="Tablet"/>
    <x v="1"/>
    <x v="1"/>
    <x v="1"/>
    <x v="0"/>
    <x v="0"/>
    <x v="0"/>
    <x v="0"/>
    <x v="0"/>
    <x v="0"/>
    <m/>
    <x v="181"/>
  </r>
  <r>
    <s v="USR-101395"/>
    <d v="2025-04-25T00:00:00"/>
    <x v="1"/>
    <x v="0"/>
    <s v="Tablet"/>
    <x v="3"/>
    <x v="2"/>
    <x v="1"/>
    <x v="1"/>
    <x v="1"/>
    <x v="0"/>
    <x v="0"/>
    <x v="1"/>
    <x v="0"/>
    <m/>
    <x v="182"/>
  </r>
  <r>
    <s v="USR-101396"/>
    <d v="2025-02-11T00:00:00"/>
    <x v="1"/>
    <x v="3"/>
    <s v="Mobile"/>
    <x v="5"/>
    <x v="2"/>
    <x v="1"/>
    <x v="1"/>
    <x v="1"/>
    <x v="1"/>
    <x v="72"/>
    <x v="0"/>
    <x v="0"/>
    <n v="6"/>
    <x v="526"/>
  </r>
  <r>
    <s v="USR-101397"/>
    <d v="2025-04-14T00:00:00"/>
    <x v="1"/>
    <x v="1"/>
    <s v="Mobile"/>
    <x v="1"/>
    <x v="1"/>
    <x v="1"/>
    <x v="0"/>
    <x v="0"/>
    <x v="0"/>
    <x v="0"/>
    <x v="0"/>
    <x v="0"/>
    <m/>
    <x v="12"/>
  </r>
  <r>
    <s v="USR-101398"/>
    <d v="2025-02-04T00:00:00"/>
    <x v="1"/>
    <x v="1"/>
    <s v="Tablet"/>
    <x v="1"/>
    <x v="2"/>
    <x v="0"/>
    <x v="0"/>
    <x v="0"/>
    <x v="0"/>
    <x v="0"/>
    <x v="0"/>
    <x v="0"/>
    <m/>
    <x v="399"/>
  </r>
  <r>
    <s v="USR-101399"/>
    <d v="2025-03-22T00:00:00"/>
    <x v="1"/>
    <x v="2"/>
    <s v="Mobile"/>
    <x v="3"/>
    <x v="1"/>
    <x v="1"/>
    <x v="0"/>
    <x v="0"/>
    <x v="0"/>
    <x v="0"/>
    <x v="0"/>
    <x v="0"/>
    <m/>
    <x v="145"/>
  </r>
  <r>
    <s v="USR-101400"/>
    <d v="2025-04-18T00:00:00"/>
    <x v="1"/>
    <x v="2"/>
    <s v="Desktop"/>
    <x v="4"/>
    <x v="1"/>
    <x v="0"/>
    <x v="0"/>
    <x v="0"/>
    <x v="0"/>
    <x v="0"/>
    <x v="0"/>
    <x v="0"/>
    <m/>
    <x v="1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0:N12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Average of revenue_30d" fld="11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31:I39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28">
        <item x="294"/>
        <item x="377"/>
        <item x="345"/>
        <item x="353"/>
        <item x="439"/>
        <item x="359"/>
        <item x="356"/>
        <item x="401"/>
        <item x="341"/>
        <item x="33"/>
        <item x="486"/>
        <item x="382"/>
        <item x="280"/>
        <item x="437"/>
        <item x="253"/>
        <item x="260"/>
        <item x="143"/>
        <item x="203"/>
        <item x="64"/>
        <item x="309"/>
        <item x="214"/>
        <item x="479"/>
        <item x="376"/>
        <item x="237"/>
        <item x="522"/>
        <item x="316"/>
        <item x="116"/>
        <item x="268"/>
        <item x="371"/>
        <item x="512"/>
        <item x="180"/>
        <item x="258"/>
        <item x="111"/>
        <item x="129"/>
        <item x="209"/>
        <item x="519"/>
        <item x="374"/>
        <item x="198"/>
        <item x="524"/>
        <item x="490"/>
        <item x="387"/>
        <item x="427"/>
        <item x="492"/>
        <item x="36"/>
        <item x="244"/>
        <item x="2"/>
        <item x="314"/>
        <item x="279"/>
        <item x="105"/>
        <item x="150"/>
        <item x="7"/>
        <item x="503"/>
        <item x="343"/>
        <item x="325"/>
        <item x="502"/>
        <item x="336"/>
        <item x="248"/>
        <item x="497"/>
        <item x="83"/>
        <item x="157"/>
        <item x="367"/>
        <item x="389"/>
        <item x="403"/>
        <item x="71"/>
        <item x="484"/>
        <item x="174"/>
        <item x="317"/>
        <item x="147"/>
        <item x="525"/>
        <item x="224"/>
        <item x="123"/>
        <item x="194"/>
        <item x="101"/>
        <item x="228"/>
        <item x="416"/>
        <item x="370"/>
        <item x="515"/>
        <item x="185"/>
        <item x="333"/>
        <item x="349"/>
        <item x="363"/>
        <item x="238"/>
        <item x="217"/>
        <item x="168"/>
        <item x="5"/>
        <item x="29"/>
        <item x="414"/>
        <item x="122"/>
        <item x="274"/>
        <item x="38"/>
        <item x="357"/>
        <item x="384"/>
        <item x="128"/>
        <item x="134"/>
        <item x="113"/>
        <item x="81"/>
        <item x="351"/>
        <item x="365"/>
        <item x="213"/>
        <item x="216"/>
        <item x="47"/>
        <item x="262"/>
        <item x="125"/>
        <item x="197"/>
        <item x="114"/>
        <item x="506"/>
        <item x="304"/>
        <item x="267"/>
        <item x="102"/>
        <item x="288"/>
        <item x="438"/>
        <item x="72"/>
        <item x="306"/>
        <item x="140"/>
        <item x="287"/>
        <item x="465"/>
        <item x="375"/>
        <item x="223"/>
        <item x="199"/>
        <item x="152"/>
        <item x="307"/>
        <item x="335"/>
        <item x="172"/>
        <item x="275"/>
        <item x="0"/>
        <item x="453"/>
        <item x="187"/>
        <item x="250"/>
        <item x="159"/>
        <item x="338"/>
        <item x="169"/>
        <item x="66"/>
        <item x="352"/>
        <item x="60"/>
        <item x="196"/>
        <item x="48"/>
        <item x="347"/>
        <item x="330"/>
        <item x="315"/>
        <item x="393"/>
        <item x="323"/>
        <item x="379"/>
        <item x="408"/>
        <item x="491"/>
        <item x="106"/>
        <item x="53"/>
        <item x="188"/>
        <item x="261"/>
        <item x="70"/>
        <item x="501"/>
        <item x="1"/>
        <item x="297"/>
        <item x="218"/>
        <item x="37"/>
        <item x="269"/>
        <item x="328"/>
        <item x="286"/>
        <item x="18"/>
        <item x="395"/>
        <item x="431"/>
        <item x="51"/>
        <item x="446"/>
        <item x="481"/>
        <item x="281"/>
        <item x="52"/>
        <item x="277"/>
        <item x="57"/>
        <item x="292"/>
        <item x="301"/>
        <item x="17"/>
        <item x="137"/>
        <item x="251"/>
        <item x="76"/>
        <item x="77"/>
        <item x="95"/>
        <item x="507"/>
        <item x="293"/>
        <item x="517"/>
        <item x="39"/>
        <item x="23"/>
        <item x="368"/>
        <item x="360"/>
        <item x="426"/>
        <item x="381"/>
        <item x="151"/>
        <item x="291"/>
        <item x="192"/>
        <item x="282"/>
        <item x="179"/>
        <item x="158"/>
        <item x="21"/>
        <item x="252"/>
        <item x="295"/>
        <item x="144"/>
        <item x="412"/>
        <item x="40"/>
        <item x="173"/>
        <item x="342"/>
        <item x="86"/>
        <item x="50"/>
        <item x="55"/>
        <item x="404"/>
        <item x="121"/>
        <item x="22"/>
        <item x="266"/>
        <item x="65"/>
        <item x="156"/>
        <item x="115"/>
        <item x="67"/>
        <item x="331"/>
        <item x="160"/>
        <item x="120"/>
        <item x="145"/>
        <item x="383"/>
        <item x="500"/>
        <item x="394"/>
        <item x="62"/>
        <item x="8"/>
        <item x="247"/>
        <item x="41"/>
        <item x="131"/>
        <item x="183"/>
        <item x="88"/>
        <item x="207"/>
        <item x="148"/>
        <item x="63"/>
        <item x="44"/>
        <item x="155"/>
        <item x="54"/>
        <item x="407"/>
        <item x="409"/>
        <item x="312"/>
        <item x="108"/>
        <item x="369"/>
        <item x="6"/>
        <item x="163"/>
        <item x="9"/>
        <item x="451"/>
        <item x="210"/>
        <item x="372"/>
        <item x="190"/>
        <item x="310"/>
        <item x="273"/>
        <item x="59"/>
        <item x="45"/>
        <item x="146"/>
        <item x="126"/>
        <item x="221"/>
        <item x="68"/>
        <item x="130"/>
        <item x="419"/>
        <item x="26"/>
        <item x="264"/>
        <item x="175"/>
        <item x="118"/>
        <item x="290"/>
        <item x="354"/>
        <item x="243"/>
        <item x="319"/>
        <item x="313"/>
        <item x="138"/>
        <item x="232"/>
        <item x="103"/>
        <item x="364"/>
        <item x="28"/>
        <item x="91"/>
        <item x="474"/>
        <item x="61"/>
        <item x="220"/>
        <item x="521"/>
        <item x="425"/>
        <item x="308"/>
        <item x="19"/>
        <item x="94"/>
        <item x="350"/>
        <item x="14"/>
        <item x="230"/>
        <item x="241"/>
        <item x="100"/>
        <item x="195"/>
        <item x="141"/>
        <item x="79"/>
        <item x="246"/>
        <item x="202"/>
        <item x="171"/>
        <item x="56"/>
        <item x="340"/>
        <item x="12"/>
        <item x="107"/>
        <item x="149"/>
        <item x="20"/>
        <item x="201"/>
        <item x="483"/>
        <item x="49"/>
        <item x="318"/>
        <item x="87"/>
        <item x="236"/>
        <item x="99"/>
        <item x="89"/>
        <item x="10"/>
        <item x="215"/>
        <item x="74"/>
        <item x="418"/>
        <item x="32"/>
        <item x="448"/>
        <item x="170"/>
        <item x="327"/>
        <item x="299"/>
        <item x="442"/>
        <item x="3"/>
        <item x="75"/>
        <item x="135"/>
        <item x="132"/>
        <item x="43"/>
        <item x="344"/>
        <item x="332"/>
        <item x="366"/>
        <item x="284"/>
        <item x="204"/>
        <item x="254"/>
        <item x="458"/>
        <item x="78"/>
        <item x="162"/>
        <item x="413"/>
        <item x="454"/>
        <item x="229"/>
        <item x="321"/>
        <item x="245"/>
        <item x="326"/>
        <item x="4"/>
        <item x="415"/>
        <item x="233"/>
        <item x="24"/>
        <item x="176"/>
        <item x="410"/>
        <item x="92"/>
        <item x="399"/>
        <item x="25"/>
        <item x="153"/>
        <item x="31"/>
        <item x="289"/>
        <item x="296"/>
        <item x="112"/>
        <item x="85"/>
        <item x="239"/>
        <item x="283"/>
        <item x="445"/>
        <item x="436"/>
        <item x="378"/>
        <item x="298"/>
        <item x="234"/>
        <item x="15"/>
        <item x="257"/>
        <item x="272"/>
        <item x="391"/>
        <item x="166"/>
        <item x="182"/>
        <item x="429"/>
        <item x="167"/>
        <item x="278"/>
        <item x="127"/>
        <item x="186"/>
        <item x="225"/>
        <item x="475"/>
        <item x="212"/>
        <item x="457"/>
        <item x="255"/>
        <item x="208"/>
        <item x="181"/>
        <item x="477"/>
        <item x="193"/>
        <item x="117"/>
        <item x="139"/>
        <item x="227"/>
        <item x="476"/>
        <item x="104"/>
        <item x="508"/>
        <item x="388"/>
        <item x="184"/>
        <item x="16"/>
        <item x="470"/>
        <item x="136"/>
        <item x="80"/>
        <item x="133"/>
        <item x="235"/>
        <item x="441"/>
        <item x="276"/>
        <item x="467"/>
        <item x="362"/>
        <item x="443"/>
        <item x="42"/>
        <item x="373"/>
        <item x="385"/>
        <item x="242"/>
        <item x="405"/>
        <item x="392"/>
        <item x="487"/>
        <item x="27"/>
        <item x="462"/>
        <item x="98"/>
        <item x="177"/>
        <item x="161"/>
        <item x="58"/>
        <item x="90"/>
        <item x="205"/>
        <item x="447"/>
        <item x="355"/>
        <item x="494"/>
        <item x="348"/>
        <item x="471"/>
        <item x="109"/>
        <item x="523"/>
        <item x="469"/>
        <item x="361"/>
        <item x="35"/>
        <item x="265"/>
        <item x="498"/>
        <item x="82"/>
        <item x="406"/>
        <item x="259"/>
        <item x="270"/>
        <item x="124"/>
        <item x="322"/>
        <item x="334"/>
        <item x="516"/>
        <item x="380"/>
        <item x="478"/>
        <item x="459"/>
        <item x="165"/>
        <item x="485"/>
        <item x="226"/>
        <item x="432"/>
        <item x="396"/>
        <item x="339"/>
        <item x="311"/>
        <item x="285"/>
        <item x="493"/>
        <item x="305"/>
        <item x="346"/>
        <item x="320"/>
        <item x="191"/>
        <item x="110"/>
        <item x="256"/>
        <item x="398"/>
        <item x="505"/>
        <item x="422"/>
        <item x="93"/>
        <item x="222"/>
        <item x="433"/>
        <item x="154"/>
        <item x="450"/>
        <item x="271"/>
        <item x="30"/>
        <item x="11"/>
        <item x="164"/>
        <item x="119"/>
        <item x="390"/>
        <item x="46"/>
        <item x="434"/>
        <item x="464"/>
        <item x="189"/>
        <item x="73"/>
        <item x="142"/>
        <item x="402"/>
        <item x="510"/>
        <item x="324"/>
        <item x="504"/>
        <item x="440"/>
        <item x="444"/>
        <item x="97"/>
        <item x="397"/>
        <item x="13"/>
        <item x="488"/>
        <item x="417"/>
        <item x="386"/>
        <item x="466"/>
        <item x="400"/>
        <item x="449"/>
        <item x="452"/>
        <item x="495"/>
        <item x="411"/>
        <item x="231"/>
        <item x="472"/>
        <item x="84"/>
        <item x="329"/>
        <item x="489"/>
        <item x="460"/>
        <item x="178"/>
        <item x="69"/>
        <item x="430"/>
        <item x="34"/>
        <item x="420"/>
        <item x="211"/>
        <item x="302"/>
        <item x="240"/>
        <item x="456"/>
        <item x="200"/>
        <item x="468"/>
        <item x="435"/>
        <item x="206"/>
        <item x="303"/>
        <item x="358"/>
        <item x="455"/>
        <item x="421"/>
        <item x="499"/>
        <item x="520"/>
        <item x="509"/>
        <item x="428"/>
        <item x="424"/>
        <item x="496"/>
        <item x="219"/>
        <item x="526"/>
        <item x="337"/>
        <item x="514"/>
        <item x="518"/>
        <item x="482"/>
        <item x="480"/>
        <item x="511"/>
        <item x="249"/>
        <item x="263"/>
        <item x="96"/>
        <item x="473"/>
        <item x="423"/>
        <item x="461"/>
        <item x="463"/>
        <item x="513"/>
        <item x="30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5" subtotal="average" baseField="5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25:I27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Average of days_to_convert" fld="1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25:N31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0" baseItem="0" numFmtId="10"/>
  </dataFields>
  <formats count="2">
    <format dxfId="7">
      <pivotArea collapsedLevelsAreSubtotals="1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0:I14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10"/>
  </dataFields>
  <formats count="3">
    <format dxfId="5">
      <pivotArea dataOnly="0" fieldPosition="0">
        <references count="1">
          <reference field="10" count="0"/>
        </references>
      </pivotArea>
    </format>
    <format dxfId="3">
      <pivotArea dataOnly="0" fieldPosition="0">
        <references count="1">
          <reference field="10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H7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10"/>
  </dataFields>
  <formats count="3">
    <format dxfId="10">
      <pivotArea collapsedLevelsAreSubtotals="1" fieldPosition="0">
        <references count="2">
          <reference field="2" count="1" selected="0">
            <x v="0"/>
          </reference>
          <reference field="7" count="1">
            <x v="1"/>
          </reference>
        </references>
      </pivotArea>
    </format>
    <format dxfId="9">
      <pivotArea collapsedLevelsAreSubtotals="1" fieldPosition="0">
        <references count="2">
          <reference field="2" count="1" selected="0">
            <x v="1"/>
          </reference>
          <reference field="7" count="1">
            <x v="1"/>
          </reference>
        </references>
      </pivotArea>
    </format>
    <format dxfId="8">
      <pivotArea collapsedLevelsAreSubtotals="1" fieldPosition="0">
        <references count="2">
          <reference field="2" count="0" selected="0"/>
          <reference field="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5:D27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7:D21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_30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0:D35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started_trial" fld="8" subtotal="average" baseField="6" baseItem="0" numFmtId="10"/>
  </dataFields>
  <formats count="5"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3:M7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0:D14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8:I22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8:N20" firstHeaderRow="1" firstDataRow="2" firstDataCol="1" rowPageCount="1" colPageCount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x="1"/>
        <item x="2"/>
        <item x="3"/>
        <item x="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pageFields count="1">
    <pageField fld="12" hier="-1"/>
  </pageField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opLeftCell="A19" workbookViewId="0">
      <selection activeCell="D34" sqref="D34"/>
    </sheetView>
  </sheetViews>
  <sheetFormatPr defaultRowHeight="15"/>
  <cols>
    <col min="1" max="1" width="28.5703125" customWidth="1"/>
    <col min="2" max="2" width="11.85546875" customWidth="1"/>
    <col min="3" max="3" width="12.5703125" customWidth="1"/>
  </cols>
  <sheetData>
    <row r="1" spans="1:3">
      <c r="A1" s="20" t="s">
        <v>1437</v>
      </c>
      <c r="B1" s="20" t="s">
        <v>1442</v>
      </c>
      <c r="C1" s="20" t="s">
        <v>724</v>
      </c>
    </row>
    <row r="2" spans="1:3">
      <c r="A2" s="21" t="s">
        <v>1488</v>
      </c>
      <c r="B2" s="22">
        <v>690</v>
      </c>
      <c r="C2" s="20">
        <v>710</v>
      </c>
    </row>
    <row r="3" spans="1:3">
      <c r="A3" s="21" t="s">
        <v>1438</v>
      </c>
      <c r="B3" s="23">
        <v>0.63623188405797104</v>
      </c>
      <c r="C3" s="23">
        <v>0.72394366197183102</v>
      </c>
    </row>
    <row r="4" spans="1:3" ht="17.25">
      <c r="A4" s="24" t="s">
        <v>1443</v>
      </c>
      <c r="B4" s="25">
        <v>0.25072463768115943</v>
      </c>
      <c r="C4" s="25">
        <v>0.29014084507042254</v>
      </c>
    </row>
    <row r="5" spans="1:3">
      <c r="A5" s="20" t="s">
        <v>1444</v>
      </c>
      <c r="B5" s="25">
        <v>0.15652173913043479</v>
      </c>
      <c r="C5" s="25">
        <v>0.21126760563380281</v>
      </c>
    </row>
    <row r="6" spans="1:3" ht="15.75">
      <c r="A6" s="26" t="s">
        <v>1445</v>
      </c>
      <c r="B6" s="25">
        <v>3.1884057971014491E-2</v>
      </c>
      <c r="C6" s="25">
        <v>7.0422535211267609E-2</v>
      </c>
    </row>
    <row r="7" spans="1:3" s="11" customFormat="1" ht="17.25">
      <c r="A7" s="27" t="s">
        <v>1446</v>
      </c>
      <c r="B7" s="28">
        <v>51.974318840579706</v>
      </c>
      <c r="C7" s="28">
        <v>54.254521126760551</v>
      </c>
    </row>
    <row r="8" spans="1:3" ht="17.25">
      <c r="A8" s="24" t="s">
        <v>1448</v>
      </c>
      <c r="B8" s="20">
        <v>1630.1036363636363</v>
      </c>
      <c r="C8" s="20">
        <v>770.41419999999982</v>
      </c>
    </row>
    <row r="9" spans="1:3" ht="17.25">
      <c r="A9" s="24" t="s">
        <v>1453</v>
      </c>
      <c r="B9" s="25">
        <v>0</v>
      </c>
      <c r="C9" s="25">
        <v>4.2253521126760559E-3</v>
      </c>
    </row>
    <row r="10" spans="1:3" ht="17.25">
      <c r="A10" s="24" t="s">
        <v>1455</v>
      </c>
      <c r="B10" s="25">
        <v>0.14782608695652175</v>
      </c>
      <c r="C10" s="25">
        <v>0.24788732394366197</v>
      </c>
    </row>
    <row r="11" spans="1:3" ht="17.25">
      <c r="A11" s="24" t="s">
        <v>1456</v>
      </c>
      <c r="B11" s="29">
        <v>57.054492753623236</v>
      </c>
      <c r="C11" s="29">
        <v>62.905774647887334</v>
      </c>
    </row>
    <row r="12" spans="1:3" ht="17.25">
      <c r="A12" s="24" t="s">
        <v>1457</v>
      </c>
      <c r="B12" s="29">
        <v>8.8636363636363633</v>
      </c>
      <c r="C12" s="29">
        <v>6.4</v>
      </c>
    </row>
    <row r="15" spans="1:3" ht="17.25">
      <c r="A15" s="7" t="s">
        <v>1463</v>
      </c>
    </row>
    <row r="16" spans="1:3">
      <c r="A16" s="14" t="s">
        <v>3</v>
      </c>
      <c r="B16" s="15" t="s">
        <v>17</v>
      </c>
      <c r="C16" s="15" t="s">
        <v>724</v>
      </c>
    </row>
    <row r="17" spans="1:4">
      <c r="A17" s="5" t="s">
        <v>28</v>
      </c>
      <c r="B17" s="8">
        <v>2.5477707006369428E-2</v>
      </c>
      <c r="C17" s="8">
        <v>6.4705882352941183E-2</v>
      </c>
      <c r="D17" s="8"/>
    </row>
    <row r="18" spans="1:4">
      <c r="A18" s="5" t="s">
        <v>18</v>
      </c>
      <c r="B18" s="8">
        <v>3.482587064676617E-2</v>
      </c>
      <c r="C18" s="8">
        <v>8.8888888888888892E-2</v>
      </c>
      <c r="D18" s="8"/>
    </row>
    <row r="19" spans="1:4">
      <c r="A19" s="5" t="s">
        <v>32</v>
      </c>
      <c r="B19" s="8">
        <v>3.2608695652173912E-2</v>
      </c>
      <c r="C19" s="8">
        <v>7.650273224043716E-2</v>
      </c>
      <c r="D19" s="8"/>
    </row>
    <row r="20" spans="1:4">
      <c r="A20" s="5" t="s">
        <v>23</v>
      </c>
      <c r="B20" s="8">
        <v>3.3783783783783786E-2</v>
      </c>
      <c r="C20" s="8">
        <v>5.0847457627118647E-2</v>
      </c>
      <c r="D20" s="8"/>
    </row>
    <row r="21" spans="1:4">
      <c r="A21" s="5"/>
      <c r="B21" s="8"/>
      <c r="C21" s="8"/>
      <c r="D21" s="8"/>
    </row>
    <row r="23" spans="1:4">
      <c r="A23" s="5" t="s">
        <v>1468</v>
      </c>
    </row>
    <row r="24" spans="1:4">
      <c r="A24" s="12" t="s">
        <v>1465</v>
      </c>
      <c r="B24" s="12" t="s">
        <v>17</v>
      </c>
      <c r="C24" s="12" t="s">
        <v>724</v>
      </c>
    </row>
    <row r="25" spans="1:4">
      <c r="A25" s="13" t="s">
        <v>21</v>
      </c>
      <c r="B25" s="9">
        <v>0.23529411764705882</v>
      </c>
      <c r="C25" s="9">
        <v>0.28017241379310343</v>
      </c>
    </row>
    <row r="26" spans="1:4">
      <c r="A26" s="13" t="s">
        <v>26</v>
      </c>
      <c r="B26" s="9">
        <v>0.25</v>
      </c>
      <c r="C26" s="9">
        <v>0.31693989071038253</v>
      </c>
    </row>
    <row r="27" spans="1:4">
      <c r="A27" s="13" t="s">
        <v>30</v>
      </c>
      <c r="B27" s="9">
        <v>0.28440366972477066</v>
      </c>
      <c r="C27" s="9">
        <v>0.22321428571428573</v>
      </c>
    </row>
    <row r="30" spans="1:4">
      <c r="A30" s="5" t="s">
        <v>1466</v>
      </c>
    </row>
    <row r="31" spans="1:4">
      <c r="A31" s="12" t="s">
        <v>1467</v>
      </c>
      <c r="B31" s="12" t="s">
        <v>17</v>
      </c>
      <c r="C31" s="12" t="s">
        <v>724</v>
      </c>
    </row>
    <row r="32" spans="1:4">
      <c r="A32" s="5" t="s">
        <v>20</v>
      </c>
      <c r="B32" s="6">
        <v>57.786301369863011</v>
      </c>
      <c r="C32" s="6">
        <v>62.241071428571438</v>
      </c>
    </row>
    <row r="33" spans="1:3">
      <c r="A33" s="5" t="s">
        <v>25</v>
      </c>
      <c r="B33" s="6">
        <v>58.457317073170721</v>
      </c>
      <c r="C33" s="6">
        <v>61.546413502109687</v>
      </c>
    </row>
    <row r="34" spans="1:3">
      <c r="A34" s="5" t="s">
        <v>29</v>
      </c>
      <c r="B34" s="6">
        <v>54.694838709677427</v>
      </c>
      <c r="C34" s="6">
        <v>62.796022727272721</v>
      </c>
    </row>
    <row r="35" spans="1:3">
      <c r="A35" s="5" t="s">
        <v>39</v>
      </c>
      <c r="B35" s="6">
        <v>58.391358024691364</v>
      </c>
      <c r="C35" s="6">
        <v>64.154945054945031</v>
      </c>
    </row>
    <row r="36" spans="1:3">
      <c r="A36" s="5" t="s">
        <v>41</v>
      </c>
      <c r="B36" s="6">
        <v>55.908527131782925</v>
      </c>
      <c r="C36" s="6">
        <v>63.738636363636388</v>
      </c>
    </row>
    <row r="37" spans="1:3">
      <c r="A37" s="5" t="s">
        <v>156</v>
      </c>
      <c r="B37" s="6">
        <v>58.183333333333337</v>
      </c>
      <c r="C37" s="6">
        <v>71.522222222222226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3"/>
  <sheetViews>
    <sheetView tabSelected="1" topLeftCell="F28" workbookViewId="0">
      <selection activeCell="J11" sqref="J11"/>
    </sheetView>
  </sheetViews>
  <sheetFormatPr defaultRowHeight="15"/>
  <cols>
    <col min="1" max="1" width="22.28515625" customWidth="1"/>
    <col min="2" max="2" width="16.28515625" bestFit="1" customWidth="1"/>
    <col min="3" max="3" width="24.7109375" customWidth="1"/>
    <col min="4" max="4" width="16.28515625" customWidth="1"/>
    <col min="5" max="5" width="10.28515625" customWidth="1"/>
    <col min="6" max="6" width="15.7109375" customWidth="1"/>
    <col min="7" max="7" width="16.28515625" bestFit="1" customWidth="1"/>
    <col min="8" max="8" width="10.28515625" customWidth="1"/>
    <col min="9" max="9" width="11.28515625" customWidth="1"/>
    <col min="10" max="10" width="15.7109375" bestFit="1" customWidth="1"/>
    <col min="11" max="11" width="28.28515625" customWidth="1"/>
    <col min="12" max="12" width="16.28515625" customWidth="1"/>
    <col min="13" max="14" width="12" customWidth="1"/>
    <col min="15" max="15" width="10.28515625" bestFit="1" customWidth="1"/>
    <col min="16" max="16" width="6.85546875" customWidth="1"/>
    <col min="17" max="17" width="11.28515625" bestFit="1" customWidth="1"/>
  </cols>
  <sheetData>
    <row r="2" spans="1:14">
      <c r="A2" s="16" t="s">
        <v>1440</v>
      </c>
      <c r="B2" s="16"/>
      <c r="E2" s="16" t="s">
        <v>1441</v>
      </c>
      <c r="F2" s="16"/>
      <c r="G2" s="16"/>
      <c r="H2" s="16"/>
      <c r="J2" s="16" t="s">
        <v>1449</v>
      </c>
      <c r="K2" s="16"/>
      <c r="L2" s="16"/>
      <c r="M2" s="16"/>
    </row>
    <row r="3" spans="1:14">
      <c r="A3" s="4" t="s">
        <v>1434</v>
      </c>
      <c r="B3" t="s">
        <v>1436</v>
      </c>
      <c r="E3" s="4" t="s">
        <v>1436</v>
      </c>
      <c r="F3" s="4" t="s">
        <v>1439</v>
      </c>
      <c r="J3" s="4" t="s">
        <v>1436</v>
      </c>
      <c r="K3" s="4" t="s">
        <v>1439</v>
      </c>
    </row>
    <row r="4" spans="1:14">
      <c r="A4" s="5" t="s">
        <v>17</v>
      </c>
      <c r="B4" s="6">
        <v>690</v>
      </c>
      <c r="E4" s="4" t="s">
        <v>1434</v>
      </c>
      <c r="F4" t="s">
        <v>17</v>
      </c>
      <c r="G4" t="s">
        <v>724</v>
      </c>
      <c r="H4" t="s">
        <v>1435</v>
      </c>
      <c r="J4" s="4" t="s">
        <v>1434</v>
      </c>
      <c r="K4" t="s">
        <v>17</v>
      </c>
      <c r="L4" t="s">
        <v>724</v>
      </c>
      <c r="M4" t="s">
        <v>1435</v>
      </c>
    </row>
    <row r="5" spans="1:14">
      <c r="A5" s="5" t="s">
        <v>724</v>
      </c>
      <c r="B5" s="6">
        <v>710</v>
      </c>
      <c r="E5" s="5">
        <v>0</v>
      </c>
      <c r="F5" s="8">
        <v>0.36376811594202896</v>
      </c>
      <c r="G5" s="8">
        <v>0.27605633802816903</v>
      </c>
      <c r="H5" s="8">
        <v>0.31928571428571428</v>
      </c>
      <c r="J5" s="5">
        <v>0</v>
      </c>
      <c r="K5" s="8">
        <v>0.74927536231884062</v>
      </c>
      <c r="L5" s="8">
        <v>0.70985915492957752</v>
      </c>
      <c r="M5" s="8">
        <v>0.72928571428571431</v>
      </c>
    </row>
    <row r="6" spans="1:14">
      <c r="A6" s="5" t="s">
        <v>1435</v>
      </c>
      <c r="B6" s="6">
        <v>1400</v>
      </c>
      <c r="E6" s="5">
        <v>1</v>
      </c>
      <c r="F6" s="9">
        <v>0.63623188405797104</v>
      </c>
      <c r="G6" s="9">
        <v>0.72394366197183102</v>
      </c>
      <c r="H6" s="8">
        <v>0.68071428571428572</v>
      </c>
      <c r="J6" s="5">
        <v>1</v>
      </c>
      <c r="K6" s="8">
        <v>0.25072463768115943</v>
      </c>
      <c r="L6" s="8">
        <v>0.29014084507042254</v>
      </c>
      <c r="M6" s="8">
        <v>0.27071428571428574</v>
      </c>
    </row>
    <row r="7" spans="1:14">
      <c r="E7" s="5" t="s">
        <v>1435</v>
      </c>
      <c r="F7" s="8">
        <v>1</v>
      </c>
      <c r="G7" s="8">
        <v>1</v>
      </c>
      <c r="H7" s="8">
        <v>1</v>
      </c>
      <c r="J7" s="5" t="s">
        <v>1435</v>
      </c>
      <c r="K7" s="8">
        <v>1</v>
      </c>
      <c r="L7" s="8">
        <v>1</v>
      </c>
      <c r="M7" s="8">
        <v>1</v>
      </c>
    </row>
    <row r="9" spans="1:14">
      <c r="A9" s="16" t="s">
        <v>1450</v>
      </c>
      <c r="B9" s="16"/>
      <c r="C9" s="16"/>
      <c r="D9" s="16"/>
      <c r="F9" s="16" t="s">
        <v>1451</v>
      </c>
      <c r="G9" s="16"/>
      <c r="H9" s="16"/>
      <c r="I9" s="16"/>
    </row>
    <row r="10" spans="1:14">
      <c r="A10" s="4" t="s">
        <v>1436</v>
      </c>
      <c r="B10" s="4" t="s">
        <v>1439</v>
      </c>
      <c r="F10" s="4" t="s">
        <v>1436</v>
      </c>
      <c r="G10" s="4" t="s">
        <v>1439</v>
      </c>
      <c r="L10" s="4" t="s">
        <v>1439</v>
      </c>
    </row>
    <row r="11" spans="1:14">
      <c r="A11" s="4" t="s">
        <v>1434</v>
      </c>
      <c r="B11" t="s">
        <v>17</v>
      </c>
      <c r="C11" t="s">
        <v>724</v>
      </c>
      <c r="D11" t="s">
        <v>1435</v>
      </c>
      <c r="F11" s="4" t="s">
        <v>1434</v>
      </c>
      <c r="G11" t="s">
        <v>17</v>
      </c>
      <c r="H11" t="s">
        <v>724</v>
      </c>
      <c r="I11" t="s">
        <v>1435</v>
      </c>
      <c r="L11" t="s">
        <v>17</v>
      </c>
      <c r="M11" t="s">
        <v>724</v>
      </c>
      <c r="N11" t="s">
        <v>1435</v>
      </c>
    </row>
    <row r="12" spans="1:14">
      <c r="A12" s="5">
        <v>0</v>
      </c>
      <c r="B12" s="8">
        <v>0.84347826086956523</v>
      </c>
      <c r="C12" s="8">
        <v>0.78873239436619713</v>
      </c>
      <c r="D12" s="8">
        <v>0.81571428571428573</v>
      </c>
      <c r="F12" s="10">
        <v>0</v>
      </c>
      <c r="G12" s="8">
        <v>0.96811594202898554</v>
      </c>
      <c r="H12" s="8">
        <v>0.92957746478873238</v>
      </c>
      <c r="I12" s="8">
        <v>0.94857142857142862</v>
      </c>
      <c r="K12" t="s">
        <v>1452</v>
      </c>
      <c r="L12" s="6">
        <v>51.974318840579706</v>
      </c>
      <c r="M12" s="6">
        <v>54.254521126760551</v>
      </c>
      <c r="N12" s="6">
        <v>53.130707142857133</v>
      </c>
    </row>
    <row r="13" spans="1:14">
      <c r="A13" s="5">
        <v>1</v>
      </c>
      <c r="B13" s="8">
        <v>0.15652173913043479</v>
      </c>
      <c r="C13" s="8">
        <v>0.21126760563380281</v>
      </c>
      <c r="D13" s="8">
        <v>0.18428571428571427</v>
      </c>
      <c r="F13" s="10">
        <v>1</v>
      </c>
      <c r="G13" s="8">
        <v>3.1884057971014491E-2</v>
      </c>
      <c r="H13" s="8">
        <v>7.0422535211267609E-2</v>
      </c>
      <c r="I13" s="8">
        <v>5.1428571428571428E-2</v>
      </c>
    </row>
    <row r="14" spans="1:14">
      <c r="A14" s="5" t="s">
        <v>1435</v>
      </c>
      <c r="B14" s="8">
        <v>1</v>
      </c>
      <c r="C14" s="8">
        <v>1</v>
      </c>
      <c r="D14" s="8">
        <v>1</v>
      </c>
      <c r="F14" s="5" t="s">
        <v>1435</v>
      </c>
      <c r="G14" s="8">
        <v>1</v>
      </c>
      <c r="H14" s="8">
        <v>1</v>
      </c>
      <c r="I14" s="8">
        <v>1</v>
      </c>
    </row>
    <row r="16" spans="1:14">
      <c r="K16" s="4" t="s">
        <v>12</v>
      </c>
      <c r="L16" t="s">
        <v>1459</v>
      </c>
    </row>
    <row r="17" spans="1:14">
      <c r="A17" s="4" t="s">
        <v>1447</v>
      </c>
      <c r="B17" s="4" t="s">
        <v>1439</v>
      </c>
      <c r="F17" s="16" t="s">
        <v>1458</v>
      </c>
      <c r="G17" s="16"/>
      <c r="H17" s="16"/>
      <c r="I17" s="16"/>
    </row>
    <row r="18" spans="1:14">
      <c r="A18" s="4" t="s">
        <v>1434</v>
      </c>
      <c r="B18" t="s">
        <v>17</v>
      </c>
      <c r="C18" t="s">
        <v>724</v>
      </c>
      <c r="D18" t="s">
        <v>1435</v>
      </c>
      <c r="F18" s="4" t="s">
        <v>1436</v>
      </c>
      <c r="G18" s="4" t="s">
        <v>1439</v>
      </c>
      <c r="L18" s="4" t="s">
        <v>1439</v>
      </c>
    </row>
    <row r="19" spans="1:14">
      <c r="A19" s="5">
        <v>0</v>
      </c>
      <c r="B19" s="6">
        <v>0</v>
      </c>
      <c r="C19" s="6">
        <v>0</v>
      </c>
      <c r="D19" s="6">
        <v>0</v>
      </c>
      <c r="F19" s="4" t="s">
        <v>1434</v>
      </c>
      <c r="G19" t="s">
        <v>17</v>
      </c>
      <c r="H19" t="s">
        <v>724</v>
      </c>
      <c r="I19" t="s">
        <v>1435</v>
      </c>
      <c r="L19" t="s">
        <v>17</v>
      </c>
      <c r="M19" t="s">
        <v>724</v>
      </c>
      <c r="N19" t="s">
        <v>1435</v>
      </c>
    </row>
    <row r="20" spans="1:14">
      <c r="A20" s="5">
        <v>1</v>
      </c>
      <c r="B20" s="6">
        <v>35862.28</v>
      </c>
      <c r="C20" s="6">
        <v>38520.709999999992</v>
      </c>
      <c r="D20" s="6">
        <v>74382.989999999991</v>
      </c>
      <c r="F20" s="5">
        <v>0</v>
      </c>
      <c r="G20" s="6">
        <v>690</v>
      </c>
      <c r="H20" s="6">
        <v>707</v>
      </c>
      <c r="I20" s="6">
        <v>1397</v>
      </c>
      <c r="K20" t="s">
        <v>1436</v>
      </c>
      <c r="L20" s="6">
        <v>102</v>
      </c>
      <c r="M20" s="6">
        <v>176</v>
      </c>
      <c r="N20" s="6">
        <v>278</v>
      </c>
    </row>
    <row r="21" spans="1:14">
      <c r="A21" s="5" t="s">
        <v>1435</v>
      </c>
      <c r="B21" s="6">
        <v>35862.28</v>
      </c>
      <c r="C21" s="6">
        <v>38520.709999999992</v>
      </c>
      <c r="D21" s="6">
        <v>74382.989999999991</v>
      </c>
      <c r="F21" s="5">
        <v>1</v>
      </c>
      <c r="G21" s="6"/>
      <c r="H21" s="6">
        <v>3</v>
      </c>
      <c r="I21" s="6">
        <v>3</v>
      </c>
      <c r="L21" s="8">
        <f>GETPIVOTDATA("user_id",$K$18,"experiment_group","Control")/GETPIVOTDATA("user_id",$A$3,"experiment_group","Control")</f>
        <v>0.14782608695652175</v>
      </c>
      <c r="M21" s="8">
        <f>GETPIVOTDATA("user_id",$K$18,"experiment_group","Treatment")/GETPIVOTDATA("user_id",$A$3,"experiment_group","Treatment")</f>
        <v>0.24788732394366197</v>
      </c>
    </row>
    <row r="22" spans="1:14">
      <c r="A22" s="5" t="s">
        <v>1454</v>
      </c>
      <c r="B22">
        <f>GETPIVOTDATA("revenue_30d",$A$17,"experiment_group","Control")/GETPIVOTDATA("user_id",$F$10,"experiment_group","Control","converted_to_paid",1)</f>
        <v>1124771.509090909</v>
      </c>
      <c r="C22">
        <f>GETPIVOTDATA("revenue_30d",$A$17,"experiment_group","Treatment")/GETPIVOTDATA("user_id",$F$10,"experiment_group","Treatment","converted_to_paid",1)</f>
        <v>546994.08199999982</v>
      </c>
      <c r="F22" s="5" t="s">
        <v>1435</v>
      </c>
      <c r="G22" s="6">
        <v>690</v>
      </c>
      <c r="H22" s="6">
        <v>710</v>
      </c>
      <c r="I22" s="6">
        <v>1400</v>
      </c>
    </row>
    <row r="23" spans="1:14">
      <c r="J23" s="8"/>
    </row>
    <row r="25" spans="1:14">
      <c r="B25" s="4" t="s">
        <v>1439</v>
      </c>
      <c r="G25" s="4" t="s">
        <v>1439</v>
      </c>
      <c r="K25" s="4" t="s">
        <v>1462</v>
      </c>
      <c r="L25" s="4" t="s">
        <v>1439</v>
      </c>
    </row>
    <row r="26" spans="1:14">
      <c r="B26" t="s">
        <v>17</v>
      </c>
      <c r="C26" t="s">
        <v>724</v>
      </c>
      <c r="D26" t="s">
        <v>1435</v>
      </c>
      <c r="G26" t="s">
        <v>17</v>
      </c>
      <c r="H26" t="s">
        <v>724</v>
      </c>
      <c r="I26" t="s">
        <v>1435</v>
      </c>
      <c r="K26" s="4" t="s">
        <v>1434</v>
      </c>
      <c r="L26" t="s">
        <v>17</v>
      </c>
      <c r="M26" t="s">
        <v>724</v>
      </c>
      <c r="N26" t="s">
        <v>1435</v>
      </c>
    </row>
    <row r="27" spans="1:14">
      <c r="A27" t="s">
        <v>1460</v>
      </c>
      <c r="B27" s="6">
        <v>57.054492753623236</v>
      </c>
      <c r="C27" s="6">
        <v>62.905774647887334</v>
      </c>
      <c r="D27" s="6">
        <v>60.021928571428568</v>
      </c>
      <c r="F27" t="s">
        <v>1461</v>
      </c>
      <c r="G27" s="6">
        <v>8.8636363636363633</v>
      </c>
      <c r="H27" s="6">
        <v>6.4</v>
      </c>
      <c r="I27" s="6">
        <v>7.1527777777777777</v>
      </c>
      <c r="K27" s="5" t="s">
        <v>28</v>
      </c>
      <c r="L27" s="8">
        <v>2.5477707006369428E-2</v>
      </c>
      <c r="M27" s="8">
        <v>6.4705882352941183E-2</v>
      </c>
      <c r="N27" s="8">
        <v>4.5871559633027525E-2</v>
      </c>
    </row>
    <row r="28" spans="1:14">
      <c r="K28" s="5" t="s">
        <v>18</v>
      </c>
      <c r="L28" s="8">
        <v>3.482587064676617E-2</v>
      </c>
      <c r="M28" s="8">
        <v>8.8888888888888892E-2</v>
      </c>
      <c r="N28" s="8">
        <v>6.0367454068241469E-2</v>
      </c>
    </row>
    <row r="29" spans="1:14">
      <c r="K29" s="5" t="s">
        <v>32</v>
      </c>
      <c r="L29" s="8">
        <v>3.2608695652173912E-2</v>
      </c>
      <c r="M29" s="8">
        <v>7.650273224043716E-2</v>
      </c>
      <c r="N29" s="8">
        <v>5.4495912806539509E-2</v>
      </c>
    </row>
    <row r="30" spans="1:14">
      <c r="A30" s="4" t="s">
        <v>1464</v>
      </c>
      <c r="B30" s="4" t="s">
        <v>1439</v>
      </c>
      <c r="K30" s="5" t="s">
        <v>23</v>
      </c>
      <c r="L30" s="8">
        <v>3.3783783783783786E-2</v>
      </c>
      <c r="M30" s="8">
        <v>5.0847457627118647E-2</v>
      </c>
      <c r="N30" s="8">
        <v>4.3076923076923075E-2</v>
      </c>
    </row>
    <row r="31" spans="1:14">
      <c r="A31" s="4" t="s">
        <v>1434</v>
      </c>
      <c r="B31" t="s">
        <v>17</v>
      </c>
      <c r="C31" t="s">
        <v>724</v>
      </c>
      <c r="D31" t="s">
        <v>1435</v>
      </c>
      <c r="F31" s="4" t="s">
        <v>1460</v>
      </c>
      <c r="G31" s="4" t="s">
        <v>1439</v>
      </c>
      <c r="K31" s="5" t="s">
        <v>1435</v>
      </c>
      <c r="L31" s="8">
        <v>3.1884057971014491E-2</v>
      </c>
      <c r="M31" s="8">
        <v>7.0422535211267609E-2</v>
      </c>
      <c r="N31" s="8">
        <v>5.1428571428571428E-2</v>
      </c>
    </row>
    <row r="32" spans="1:14">
      <c r="A32" s="10" t="s">
        <v>21</v>
      </c>
      <c r="B32" s="8">
        <v>0.23529411764705882</v>
      </c>
      <c r="C32" s="8">
        <v>0.28017241379310343</v>
      </c>
      <c r="D32" s="8">
        <v>0.25827814569536423</v>
      </c>
      <c r="F32" s="4" t="s">
        <v>1434</v>
      </c>
      <c r="G32" t="s">
        <v>17</v>
      </c>
      <c r="H32" t="s">
        <v>724</v>
      </c>
      <c r="I32" t="s">
        <v>1435</v>
      </c>
    </row>
    <row r="33" spans="1:9">
      <c r="A33" s="10" t="s">
        <v>26</v>
      </c>
      <c r="B33" s="8">
        <v>0.25</v>
      </c>
      <c r="C33" s="8">
        <v>0.31693989071038253</v>
      </c>
      <c r="D33" s="8">
        <v>0.28374655647382918</v>
      </c>
      <c r="F33" s="5" t="s">
        <v>20</v>
      </c>
      <c r="G33" s="6">
        <v>57.786301369863011</v>
      </c>
      <c r="H33" s="6">
        <v>62.241071428571438</v>
      </c>
      <c r="I33" s="6">
        <v>59.720155038759678</v>
      </c>
    </row>
    <row r="34" spans="1:9">
      <c r="A34" s="10" t="s">
        <v>30</v>
      </c>
      <c r="B34" s="8">
        <v>0.28440366972477066</v>
      </c>
      <c r="C34" s="8">
        <v>0.22321428571428573</v>
      </c>
      <c r="D34" s="8">
        <v>0.25339366515837103</v>
      </c>
      <c r="F34" s="5" t="s">
        <v>25</v>
      </c>
      <c r="G34" s="6">
        <v>58.457317073170721</v>
      </c>
      <c r="H34" s="6">
        <v>61.546413502109687</v>
      </c>
      <c r="I34" s="6">
        <v>59.97308488612839</v>
      </c>
    </row>
    <row r="35" spans="1:9">
      <c r="A35" s="10" t="s">
        <v>1435</v>
      </c>
      <c r="B35" s="8">
        <v>0.25072463768115943</v>
      </c>
      <c r="C35" s="8">
        <v>0.29014084507042254</v>
      </c>
      <c r="D35" s="8">
        <v>0.27071428571428574</v>
      </c>
      <c r="F35" s="5" t="s">
        <v>29</v>
      </c>
      <c r="G35" s="6">
        <v>54.694838709677427</v>
      </c>
      <c r="H35" s="6">
        <v>62.796022727272721</v>
      </c>
      <c r="I35" s="6">
        <v>59.002416918429034</v>
      </c>
    </row>
    <row r="36" spans="1:9">
      <c r="A36" s="5"/>
      <c r="B36" s="8"/>
      <c r="C36" s="8"/>
      <c r="D36" s="8"/>
      <c r="F36" s="5" t="s">
        <v>39</v>
      </c>
      <c r="G36" s="6">
        <v>58.391358024691364</v>
      </c>
      <c r="H36" s="6">
        <v>64.154945054945031</v>
      </c>
      <c r="I36" s="6">
        <v>61.440697674418601</v>
      </c>
    </row>
    <row r="37" spans="1:9">
      <c r="F37" s="5" t="s">
        <v>41</v>
      </c>
      <c r="G37" s="6">
        <v>55.908527131782925</v>
      </c>
      <c r="H37" s="6">
        <v>63.738636363636388</v>
      </c>
      <c r="I37" s="6">
        <v>59.868582375478901</v>
      </c>
    </row>
    <row r="38" spans="1:9">
      <c r="F38" s="5" t="s">
        <v>156</v>
      </c>
      <c r="G38" s="6">
        <v>58.183333333333337</v>
      </c>
      <c r="H38" s="6">
        <v>71.522222222222226</v>
      </c>
      <c r="I38" s="6">
        <v>68.187500000000014</v>
      </c>
    </row>
    <row r="39" spans="1:9">
      <c r="F39" s="5" t="s">
        <v>1435</v>
      </c>
      <c r="G39" s="6">
        <v>57.054492753623229</v>
      </c>
      <c r="H39" s="6">
        <v>62.905774647887363</v>
      </c>
      <c r="I39" s="6">
        <v>60.021928571428582</v>
      </c>
    </row>
    <row r="43" spans="1:9">
      <c r="D43" s="6"/>
      <c r="E43" s="6"/>
      <c r="F43" s="6"/>
    </row>
  </sheetData>
  <mergeCells count="6">
    <mergeCell ref="F17:I17"/>
    <mergeCell ref="A2:B2"/>
    <mergeCell ref="E2:H2"/>
    <mergeCell ref="J2:M2"/>
    <mergeCell ref="A9:D9"/>
    <mergeCell ref="F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1"/>
  <sheetViews>
    <sheetView topLeftCell="C1366" workbookViewId="0">
      <selection activeCell="G1395" sqref="G1395"/>
    </sheetView>
  </sheetViews>
  <sheetFormatPr defaultRowHeight="15"/>
  <cols>
    <col min="2" max="2" width="22.140625" customWidth="1"/>
    <col min="3" max="3" width="15.28515625" customWidth="1"/>
  </cols>
  <sheetData>
    <row r="1" spans="1:1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>
        <v>45.7</v>
      </c>
    </row>
    <row r="3" spans="1:16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>
        <v>48.6</v>
      </c>
    </row>
    <row r="4" spans="1:16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>
        <v>35.4</v>
      </c>
    </row>
    <row r="5" spans="1:16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>
        <v>64.599999999999994</v>
      </c>
    </row>
    <row r="6" spans="1:16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>
        <v>66.599999999999994</v>
      </c>
    </row>
    <row r="7" spans="1:16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>
        <v>40.799999999999997</v>
      </c>
    </row>
    <row r="8" spans="1:16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>
        <v>57.1</v>
      </c>
    </row>
    <row r="9" spans="1:16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>
        <v>36.4</v>
      </c>
    </row>
    <row r="10" spans="1:16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>
        <v>55.4</v>
      </c>
    </row>
    <row r="11" spans="1:16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>
        <v>57.3</v>
      </c>
    </row>
    <row r="12" spans="1:16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>
        <v>63.6</v>
      </c>
    </row>
    <row r="13" spans="1:16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>
        <v>80.400000000000006</v>
      </c>
    </row>
    <row r="14" spans="1:16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>
        <v>62.4</v>
      </c>
    </row>
    <row r="15" spans="1:16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>
        <v>82.4</v>
      </c>
    </row>
    <row r="16" spans="1:16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E125" s="2" t="s">
        <v>156</v>
      </c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>
        <v>47.9</v>
      </c>
    </row>
    <row r="126" spans="1:16">
      <c r="A126" s="2" t="s">
        <v>157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>
        <v>62.5</v>
      </c>
    </row>
    <row r="127" spans="1:16">
      <c r="A127" s="2" t="s">
        <v>158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>
        <v>56.9</v>
      </c>
    </row>
    <row r="128" spans="1:16">
      <c r="A128" s="2" t="s">
        <v>159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>
        <v>64.7</v>
      </c>
    </row>
    <row r="129" spans="1:16">
      <c r="A129" s="2" t="s">
        <v>160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>
        <v>64</v>
      </c>
    </row>
    <row r="130" spans="1:16">
      <c r="A130" s="2" t="s">
        <v>161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>
        <v>75.2</v>
      </c>
    </row>
    <row r="131" spans="1:16">
      <c r="A131" s="2" t="s">
        <v>162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>
        <v>79</v>
      </c>
    </row>
    <row r="132" spans="1:16">
      <c r="A132" s="2" t="s">
        <v>163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>
        <v>33</v>
      </c>
    </row>
    <row r="133" spans="1:16">
      <c r="A133" s="2" t="s">
        <v>164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>
        <v>67.900000000000006</v>
      </c>
    </row>
    <row r="134" spans="1:16">
      <c r="A134" s="2" t="s">
        <v>165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>
        <v>42.2</v>
      </c>
    </row>
    <row r="135" spans="1:16">
      <c r="A135" s="2" t="s">
        <v>166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>
        <v>43.4</v>
      </c>
    </row>
    <row r="136" spans="1:16">
      <c r="A136" s="2" t="s">
        <v>167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>
        <v>54.4</v>
      </c>
    </row>
    <row r="137" spans="1:16">
      <c r="A137" s="2" t="s">
        <v>168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>
        <v>45.7</v>
      </c>
    </row>
    <row r="138" spans="1:16">
      <c r="A138" s="2" t="s">
        <v>169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>
        <v>32</v>
      </c>
    </row>
    <row r="139" spans="1:16">
      <c r="A139" s="2" t="s">
        <v>170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>
        <v>70.900000000000006</v>
      </c>
    </row>
    <row r="140" spans="1:16">
      <c r="A140" s="2" t="s">
        <v>171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>
        <v>59.1</v>
      </c>
    </row>
    <row r="141" spans="1:16">
      <c r="A141" s="2" t="s">
        <v>172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>
        <v>62.4</v>
      </c>
    </row>
    <row r="142" spans="1:16">
      <c r="A142" s="2" t="s">
        <v>173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>
        <v>49.6</v>
      </c>
    </row>
    <row r="143" spans="1:16">
      <c r="A143" s="2" t="s">
        <v>174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>
        <v>80.599999999999994</v>
      </c>
    </row>
    <row r="144" spans="1:16">
      <c r="A144" s="2" t="s">
        <v>175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>
        <v>47.9</v>
      </c>
    </row>
    <row r="145" spans="1:16">
      <c r="A145" s="2" t="s">
        <v>176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>
        <v>54.8</v>
      </c>
    </row>
    <row r="146" spans="1:16">
      <c r="A146" s="2" t="s">
        <v>177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>
        <v>53.9</v>
      </c>
    </row>
    <row r="147" spans="1:16">
      <c r="A147" s="2" t="s">
        <v>178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>
        <v>41.3</v>
      </c>
    </row>
    <row r="148" spans="1:16">
      <c r="A148" s="2" t="s">
        <v>179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>
        <v>38.9</v>
      </c>
    </row>
    <row r="149" spans="1:16">
      <c r="A149" s="2" t="s">
        <v>180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>
        <v>63.6</v>
      </c>
    </row>
    <row r="150" spans="1:16">
      <c r="A150" s="2" t="s">
        <v>181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>
        <v>76.599999999999994</v>
      </c>
    </row>
    <row r="151" spans="1:16">
      <c r="A151" s="2" t="s">
        <v>182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>
        <v>67.599999999999994</v>
      </c>
    </row>
    <row r="152" spans="1:16">
      <c r="A152" s="2" t="s">
        <v>183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>
        <v>43.1</v>
      </c>
    </row>
    <row r="153" spans="1:16">
      <c r="A153" s="2" t="s">
        <v>184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>
        <v>58.3</v>
      </c>
    </row>
    <row r="154" spans="1:16">
      <c r="A154" s="2" t="s">
        <v>185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>
        <v>69.8</v>
      </c>
    </row>
    <row r="155" spans="1:16">
      <c r="A155" s="2" t="s">
        <v>186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>
        <v>59.9</v>
      </c>
    </row>
    <row r="156" spans="1:16">
      <c r="A156" s="2" t="s">
        <v>187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>
        <v>41.9</v>
      </c>
    </row>
    <row r="157" spans="1:16">
      <c r="A157" s="2" t="s">
        <v>188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>
        <v>33.1</v>
      </c>
    </row>
    <row r="158" spans="1:16">
      <c r="A158" s="2" t="s">
        <v>189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>
        <v>58.6</v>
      </c>
    </row>
    <row r="159" spans="1:16">
      <c r="A159" s="2" t="s">
        <v>190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>
        <v>55.7</v>
      </c>
    </row>
    <row r="160" spans="1:16">
      <c r="A160" s="2" t="s">
        <v>191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>
        <v>64.900000000000006</v>
      </c>
    </row>
    <row r="161" spans="1:16">
      <c r="A161" s="2" t="s">
        <v>192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>
        <v>72.3</v>
      </c>
    </row>
    <row r="162" spans="1:16">
      <c r="A162" s="2" t="s">
        <v>193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>
        <v>42.1</v>
      </c>
    </row>
    <row r="163" spans="1:16">
      <c r="A163" s="2" t="s">
        <v>194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>
        <v>59.9</v>
      </c>
    </row>
    <row r="164" spans="1:16">
      <c r="A164" s="2" t="s">
        <v>195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>
        <v>64.8</v>
      </c>
    </row>
    <row r="165" spans="1:16">
      <c r="A165" s="2" t="s">
        <v>196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>
        <v>72.099999999999994</v>
      </c>
    </row>
    <row r="166" spans="1:16">
      <c r="A166" s="2" t="s">
        <v>197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>
        <v>50.6</v>
      </c>
    </row>
    <row r="167" spans="1:16">
      <c r="A167" s="2" t="s">
        <v>198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>
        <v>43.4</v>
      </c>
    </row>
    <row r="168" spans="1:16">
      <c r="A168" s="2" t="s">
        <v>199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>
        <v>59.7</v>
      </c>
    </row>
    <row r="169" spans="1:16">
      <c r="A169" s="2" t="s">
        <v>200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>
        <v>59.9</v>
      </c>
    </row>
    <row r="170" spans="1:16">
      <c r="A170" s="2" t="s">
        <v>201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>
        <v>54.5</v>
      </c>
    </row>
    <row r="171" spans="1:16">
      <c r="A171" s="2" t="s">
        <v>202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>
        <v>71.099999999999994</v>
      </c>
    </row>
    <row r="172" spans="1:16">
      <c r="A172" s="2" t="s">
        <v>203</v>
      </c>
      <c r="B172" s="3">
        <v>45806</v>
      </c>
      <c r="C172" s="2" t="s">
        <v>17</v>
      </c>
      <c r="D172" s="2" t="s">
        <v>28</v>
      </c>
      <c r="E172" s="2" t="s">
        <v>156</v>
      </c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>
        <v>44.4</v>
      </c>
    </row>
    <row r="173" spans="1:16">
      <c r="A173" s="2" t="s">
        <v>204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>
        <v>61.7</v>
      </c>
    </row>
    <row r="174" spans="1:16">
      <c r="A174" s="2" t="s">
        <v>205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>
        <v>81.3</v>
      </c>
    </row>
    <row r="175" spans="1:16">
      <c r="A175" s="2" t="s">
        <v>206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>
        <v>28.7</v>
      </c>
    </row>
    <row r="176" spans="1:16">
      <c r="A176" s="2" t="s">
        <v>207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>
        <v>53</v>
      </c>
    </row>
    <row r="177" spans="1:16">
      <c r="A177" s="2" t="s">
        <v>208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>
        <v>54.9</v>
      </c>
    </row>
    <row r="178" spans="1:16">
      <c r="A178" s="2" t="s">
        <v>209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>
        <v>58.2</v>
      </c>
    </row>
    <row r="179" spans="1:16">
      <c r="A179" s="2" t="s">
        <v>210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>
        <v>80.599999999999994</v>
      </c>
    </row>
    <row r="180" spans="1:16">
      <c r="A180" s="2" t="s">
        <v>211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>
        <v>38.4</v>
      </c>
    </row>
    <row r="181" spans="1:16">
      <c r="A181" s="2" t="s">
        <v>212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>
        <v>56.1</v>
      </c>
    </row>
    <row r="182" spans="1:16">
      <c r="A182" s="2" t="s">
        <v>213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>
        <v>62.6</v>
      </c>
    </row>
    <row r="183" spans="1:16">
      <c r="A183" s="2" t="s">
        <v>214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>
        <v>36.299999999999997</v>
      </c>
    </row>
    <row r="184" spans="1:16">
      <c r="A184" s="2" t="s">
        <v>215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>
        <v>52.1</v>
      </c>
    </row>
    <row r="185" spans="1:16">
      <c r="A185" s="2" t="s">
        <v>216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>
        <v>45.1</v>
      </c>
    </row>
    <row r="186" spans="1:16">
      <c r="A186" s="2" t="s">
        <v>217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>
        <v>67.5</v>
      </c>
    </row>
    <row r="187" spans="1:16">
      <c r="A187" s="2" t="s">
        <v>218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>
        <v>80</v>
      </c>
    </row>
    <row r="188" spans="1:16">
      <c r="A188" s="2" t="s">
        <v>219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>
        <v>56.4</v>
      </c>
    </row>
    <row r="189" spans="1:16">
      <c r="A189" s="2" t="s">
        <v>220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>
        <v>55.4</v>
      </c>
    </row>
    <row r="190" spans="1:16">
      <c r="A190" s="2" t="s">
        <v>221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>
        <v>67.900000000000006</v>
      </c>
    </row>
    <row r="191" spans="1:16">
      <c r="A191" s="2" t="s">
        <v>222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>
        <v>62.5</v>
      </c>
    </row>
    <row r="192" spans="1:16">
      <c r="A192" s="2" t="s">
        <v>223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>
        <v>54.3</v>
      </c>
    </row>
    <row r="193" spans="1:16">
      <c r="A193" s="2" t="s">
        <v>224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>
        <v>37.5</v>
      </c>
    </row>
    <row r="194" spans="1:16">
      <c r="A194" s="2" t="s">
        <v>225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>
        <v>52.6</v>
      </c>
    </row>
    <row r="195" spans="1:16">
      <c r="A195" s="2" t="s">
        <v>226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>
        <v>46.1</v>
      </c>
    </row>
    <row r="196" spans="1:16">
      <c r="A196" s="2" t="s">
        <v>227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>
        <v>54.7</v>
      </c>
    </row>
    <row r="197" spans="1:16">
      <c r="A197" s="2" t="s">
        <v>228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>
        <v>74.2</v>
      </c>
    </row>
    <row r="198" spans="1:16">
      <c r="A198" s="2" t="s">
        <v>229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>
        <v>64.7</v>
      </c>
    </row>
    <row r="199" spans="1:16">
      <c r="A199" s="2" t="s">
        <v>230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>
        <v>65.900000000000006</v>
      </c>
    </row>
    <row r="200" spans="1:16">
      <c r="A200" s="2" t="s">
        <v>231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>
        <v>64</v>
      </c>
    </row>
    <row r="201" spans="1:16">
      <c r="A201" s="2" t="s">
        <v>232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>
        <v>57.2</v>
      </c>
    </row>
    <row r="202" spans="1:16">
      <c r="A202" s="2" t="s">
        <v>233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>
        <v>80.5</v>
      </c>
    </row>
    <row r="203" spans="1:16">
      <c r="A203" s="2" t="s">
        <v>234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>
        <v>53.9</v>
      </c>
    </row>
    <row r="204" spans="1:16">
      <c r="A204" s="2" t="s">
        <v>235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>
        <v>77.5</v>
      </c>
    </row>
    <row r="205" spans="1:16">
      <c r="A205" s="2" t="s">
        <v>236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>
        <v>84.2</v>
      </c>
    </row>
    <row r="206" spans="1:16">
      <c r="A206" s="2" t="s">
        <v>237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>
        <v>54.9</v>
      </c>
    </row>
    <row r="207" spans="1:16">
      <c r="A207" s="2" t="s">
        <v>238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>
        <v>69.3</v>
      </c>
    </row>
    <row r="208" spans="1:16">
      <c r="A208" s="2" t="s">
        <v>239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>
        <v>42.3</v>
      </c>
    </row>
    <row r="209" spans="1:16">
      <c r="A209" s="2" t="s">
        <v>240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>
        <v>69.599999999999994</v>
      </c>
    </row>
    <row r="210" spans="1:16">
      <c r="A210" s="2" t="s">
        <v>241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>
        <v>40.700000000000003</v>
      </c>
    </row>
    <row r="211" spans="1:16">
      <c r="A211" s="2" t="s">
        <v>242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>
        <v>54</v>
      </c>
    </row>
    <row r="212" spans="1:16">
      <c r="A212" s="2" t="s">
        <v>243</v>
      </c>
      <c r="B212" s="3">
        <v>45739</v>
      </c>
      <c r="C212" s="2" t="s">
        <v>17</v>
      </c>
      <c r="D212" s="2" t="s">
        <v>28</v>
      </c>
      <c r="E212" s="2" t="s">
        <v>156</v>
      </c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>
        <v>46.3</v>
      </c>
    </row>
    <row r="213" spans="1:16">
      <c r="A213" s="2" t="s">
        <v>244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>
        <v>64.2</v>
      </c>
    </row>
    <row r="214" spans="1:16">
      <c r="A214" s="2" t="s">
        <v>245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>
        <v>75.2</v>
      </c>
    </row>
    <row r="215" spans="1:16">
      <c r="A215" s="2" t="s">
        <v>246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>
        <v>60.9</v>
      </c>
    </row>
    <row r="216" spans="1:16">
      <c r="A216" s="2" t="s">
        <v>247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>
        <v>62.1</v>
      </c>
    </row>
    <row r="217" spans="1:16">
      <c r="A217" s="2" t="s">
        <v>248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>
        <v>45.4</v>
      </c>
    </row>
    <row r="218" spans="1:16">
      <c r="A218" s="2" t="s">
        <v>249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>
        <v>53.3</v>
      </c>
    </row>
    <row r="219" spans="1:16">
      <c r="A219" s="2" t="s">
        <v>250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>
        <v>59.9</v>
      </c>
    </row>
    <row r="220" spans="1:16">
      <c r="A220" s="2" t="s">
        <v>251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>
        <v>38.200000000000003</v>
      </c>
    </row>
    <row r="221" spans="1:16">
      <c r="A221" s="2" t="s">
        <v>252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>
        <v>59</v>
      </c>
    </row>
    <row r="222" spans="1:16">
      <c r="A222" s="2" t="s">
        <v>253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>
        <v>80.599999999999994</v>
      </c>
    </row>
    <row r="223" spans="1:16">
      <c r="A223" s="2" t="s">
        <v>254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>
        <v>67</v>
      </c>
    </row>
    <row r="224" spans="1:16">
      <c r="A224" s="2" t="s">
        <v>255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>
        <v>72.099999999999994</v>
      </c>
    </row>
    <row r="225" spans="1:16">
      <c r="A225" s="2" t="s">
        <v>256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>
        <v>74.099999999999994</v>
      </c>
    </row>
    <row r="226" spans="1:16">
      <c r="A226" s="2" t="s">
        <v>257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>
        <v>84.8</v>
      </c>
    </row>
    <row r="227" spans="1:16">
      <c r="A227" s="2" t="s">
        <v>258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>
        <v>33</v>
      </c>
    </row>
    <row r="228" spans="1:16">
      <c r="A228" s="2" t="s">
        <v>259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>
        <v>52.5</v>
      </c>
    </row>
    <row r="229" spans="1:16">
      <c r="A229" s="2" t="s">
        <v>260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>
        <v>66.900000000000006</v>
      </c>
    </row>
    <row r="230" spans="1:16">
      <c r="A230" s="2" t="s">
        <v>261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>
        <v>32.700000000000003</v>
      </c>
    </row>
    <row r="231" spans="1:16">
      <c r="A231" s="2" t="s">
        <v>262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>
        <v>70.599999999999994</v>
      </c>
    </row>
    <row r="232" spans="1:16">
      <c r="A232" s="2" t="s">
        <v>263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>
        <v>69.400000000000006</v>
      </c>
    </row>
    <row r="233" spans="1:16">
      <c r="A233" s="2" t="s">
        <v>264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>
        <v>56.1</v>
      </c>
    </row>
    <row r="234" spans="1:16">
      <c r="A234" s="2" t="s">
        <v>265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>
        <v>55.8</v>
      </c>
    </row>
    <row r="235" spans="1:16">
      <c r="A235" s="2" t="s">
        <v>266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>
        <v>49.3</v>
      </c>
    </row>
    <row r="236" spans="1:16">
      <c r="A236" s="2" t="s">
        <v>267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>
        <v>71.8</v>
      </c>
    </row>
    <row r="237" spans="1:16">
      <c r="A237" s="2" t="s">
        <v>268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>
        <v>39.700000000000003</v>
      </c>
    </row>
    <row r="238" spans="1:16">
      <c r="A238" s="2" t="s">
        <v>269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>
        <v>45.4</v>
      </c>
    </row>
    <row r="239" spans="1:16">
      <c r="A239" s="2" t="s">
        <v>270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>
        <v>69.900000000000006</v>
      </c>
    </row>
    <row r="240" spans="1:16">
      <c r="A240" s="2" t="s">
        <v>271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>
        <v>56.1</v>
      </c>
    </row>
    <row r="241" spans="1:16">
      <c r="A241" s="2" t="s">
        <v>272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>
        <v>45.9</v>
      </c>
    </row>
    <row r="242" spans="1:16">
      <c r="A242" s="2" t="s">
        <v>273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>
        <v>65.8</v>
      </c>
    </row>
    <row r="243" spans="1:16">
      <c r="A243" s="2" t="s">
        <v>274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>
        <v>48.2</v>
      </c>
    </row>
    <row r="244" spans="1:16">
      <c r="A244" s="2" t="s">
        <v>275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>
        <v>81.099999999999994</v>
      </c>
    </row>
    <row r="245" spans="1:16">
      <c r="A245" s="2" t="s">
        <v>276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>
        <v>53.2</v>
      </c>
    </row>
    <row r="246" spans="1:16">
      <c r="A246" s="2" t="s">
        <v>277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>
        <v>57.7</v>
      </c>
    </row>
    <row r="247" spans="1:16">
      <c r="A247" s="2" t="s">
        <v>278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>
        <v>78.900000000000006</v>
      </c>
    </row>
    <row r="248" spans="1:16">
      <c r="A248" s="2" t="s">
        <v>279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>
        <v>55.7</v>
      </c>
    </row>
    <row r="249" spans="1:16">
      <c r="A249" s="2" t="s">
        <v>280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>
        <v>52.3</v>
      </c>
    </row>
    <row r="250" spans="1:16">
      <c r="A250" s="2" t="s">
        <v>281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>
        <v>51.5</v>
      </c>
    </row>
    <row r="251" spans="1:16">
      <c r="A251" s="2" t="s">
        <v>282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>
        <v>70.8</v>
      </c>
    </row>
    <row r="252" spans="1:16">
      <c r="A252" s="2" t="s">
        <v>283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>
        <v>39</v>
      </c>
    </row>
    <row r="253" spans="1:16">
      <c r="A253" s="2" t="s">
        <v>284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>
        <v>61.6</v>
      </c>
    </row>
    <row r="254" spans="1:16">
      <c r="A254" s="2" t="s">
        <v>285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>
        <v>46.8</v>
      </c>
    </row>
    <row r="255" spans="1:16">
      <c r="A255" s="2" t="s">
        <v>286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>
        <v>58.5</v>
      </c>
    </row>
    <row r="256" spans="1:16">
      <c r="A256" s="2" t="s">
        <v>287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>
        <v>70.900000000000006</v>
      </c>
    </row>
    <row r="257" spans="1:16">
      <c r="A257" s="2" t="s">
        <v>288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>
        <v>48.4</v>
      </c>
    </row>
    <row r="258" spans="1:16">
      <c r="A258" s="2" t="s">
        <v>289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>
        <v>58</v>
      </c>
    </row>
    <row r="259" spans="1:16">
      <c r="A259" s="2" t="s">
        <v>290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>
        <v>61.6</v>
      </c>
    </row>
    <row r="260" spans="1:16">
      <c r="A260" s="2" t="s">
        <v>291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>
        <v>43.2</v>
      </c>
    </row>
    <row r="261" spans="1:16">
      <c r="A261" s="2" t="s">
        <v>292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>
        <v>53.3</v>
      </c>
    </row>
    <row r="262" spans="1:16">
      <c r="A262" s="2" t="s">
        <v>293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>
        <v>33.9</v>
      </c>
    </row>
    <row r="263" spans="1:16">
      <c r="A263" s="2" t="s">
        <v>294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>
        <v>35.4</v>
      </c>
    </row>
    <row r="264" spans="1:16">
      <c r="A264" s="2" t="s">
        <v>295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>
        <v>45</v>
      </c>
    </row>
    <row r="265" spans="1:16">
      <c r="A265" s="2" t="s">
        <v>296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>
        <v>86.5</v>
      </c>
    </row>
    <row r="266" spans="1:16">
      <c r="A266" s="2" t="s">
        <v>297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>
        <v>58.1</v>
      </c>
    </row>
    <row r="267" spans="1:16">
      <c r="A267" s="2" t="s">
        <v>298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>
        <v>36.1</v>
      </c>
    </row>
    <row r="268" spans="1:16">
      <c r="A268" s="2" t="s">
        <v>299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>
        <v>62.8</v>
      </c>
    </row>
    <row r="269" spans="1:16">
      <c r="A269" s="2" t="s">
        <v>300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>
        <v>54.2</v>
      </c>
    </row>
    <row r="270" spans="1:16">
      <c r="A270" s="2" t="s">
        <v>301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>
        <v>50</v>
      </c>
    </row>
    <row r="271" spans="1:16">
      <c r="A271" s="2" t="s">
        <v>302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>
        <v>62</v>
      </c>
    </row>
    <row r="272" spans="1:16">
      <c r="A272" s="2" t="s">
        <v>303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>
        <v>29.3</v>
      </c>
    </row>
    <row r="273" spans="1:16">
      <c r="A273" s="2" t="s">
        <v>304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>
        <v>67.900000000000006</v>
      </c>
    </row>
    <row r="274" spans="1:16">
      <c r="A274" s="2" t="s">
        <v>305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>
        <v>67.599999999999994</v>
      </c>
    </row>
    <row r="275" spans="1:16">
      <c r="A275" s="2" t="s">
        <v>306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>
        <v>67.400000000000006</v>
      </c>
    </row>
    <row r="276" spans="1:16">
      <c r="A276" s="2" t="s">
        <v>307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>
        <v>53</v>
      </c>
    </row>
    <row r="277" spans="1:16">
      <c r="A277" s="2" t="s">
        <v>308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>
        <v>65.5</v>
      </c>
    </row>
    <row r="278" spans="1:16">
      <c r="A278" s="2" t="s">
        <v>309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>
        <v>49.6</v>
      </c>
    </row>
    <row r="279" spans="1:16">
      <c r="A279" s="2" t="s">
        <v>310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>
        <v>74.5</v>
      </c>
    </row>
    <row r="280" spans="1:16">
      <c r="A280" s="2" t="s">
        <v>311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>
        <v>46.9</v>
      </c>
    </row>
    <row r="281" spans="1:16">
      <c r="A281" s="2" t="s">
        <v>312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>
        <v>87.1</v>
      </c>
    </row>
    <row r="282" spans="1:16">
      <c r="A282" s="2" t="s">
        <v>313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>
        <v>56</v>
      </c>
    </row>
    <row r="283" spans="1:16">
      <c r="A283" s="2" t="s">
        <v>314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>
        <v>61.7</v>
      </c>
    </row>
    <row r="284" spans="1:16">
      <c r="A284" s="2" t="s">
        <v>315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>
        <v>70.5</v>
      </c>
    </row>
    <row r="285" spans="1:16">
      <c r="A285" s="2" t="s">
        <v>316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>
        <v>33.4</v>
      </c>
    </row>
    <row r="286" spans="1:16">
      <c r="A286" s="2" t="s">
        <v>317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>
        <v>57.5</v>
      </c>
    </row>
    <row r="287" spans="1:16">
      <c r="A287" s="2" t="s">
        <v>318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>
        <v>85.7</v>
      </c>
    </row>
    <row r="288" spans="1:16">
      <c r="A288" s="2" t="s">
        <v>319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>
        <v>41.9</v>
      </c>
    </row>
    <row r="289" spans="1:16">
      <c r="A289" s="2" t="s">
        <v>320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>
        <v>70.2</v>
      </c>
    </row>
    <row r="290" spans="1:16">
      <c r="A290" s="2" t="s">
        <v>321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>
        <v>42.6</v>
      </c>
    </row>
    <row r="291" spans="1:16">
      <c r="A291" s="2" t="s">
        <v>322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>
        <v>30.4</v>
      </c>
    </row>
    <row r="292" spans="1:16">
      <c r="A292" s="2" t="s">
        <v>323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>
        <v>63.7</v>
      </c>
    </row>
    <row r="293" spans="1:16">
      <c r="A293" s="2" t="s">
        <v>324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>
        <v>42.7</v>
      </c>
    </row>
    <row r="294" spans="1:16">
      <c r="A294" s="2" t="s">
        <v>325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>
        <v>74.3</v>
      </c>
    </row>
    <row r="295" spans="1:16">
      <c r="A295" s="2" t="s">
        <v>326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>
        <v>40.6</v>
      </c>
    </row>
    <row r="296" spans="1:16">
      <c r="A296" s="2" t="s">
        <v>327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>
        <v>67</v>
      </c>
    </row>
    <row r="297" spans="1:16">
      <c r="A297" s="2" t="s">
        <v>328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>
        <v>51</v>
      </c>
    </row>
    <row r="298" spans="1:16">
      <c r="A298" s="2" t="s">
        <v>329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>
        <v>54.8</v>
      </c>
    </row>
    <row r="299" spans="1:16">
      <c r="A299" s="2" t="s">
        <v>330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>
        <v>40.799999999999997</v>
      </c>
    </row>
    <row r="300" spans="1:16">
      <c r="A300" s="2" t="s">
        <v>331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>
        <v>48.8</v>
      </c>
    </row>
    <row r="301" spans="1:16">
      <c r="A301" s="2" t="s">
        <v>332</v>
      </c>
      <c r="B301" s="3">
        <v>45681</v>
      </c>
      <c r="C301" s="2" t="s">
        <v>17</v>
      </c>
      <c r="D301" s="2" t="s">
        <v>32</v>
      </c>
      <c r="E301" s="2" t="s">
        <v>24</v>
      </c>
      <c r="F301" s="2" t="s">
        <v>156</v>
      </c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>
        <v>88.9</v>
      </c>
    </row>
    <row r="302" spans="1:16">
      <c r="A302" s="2" t="s">
        <v>333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>
        <v>60.5</v>
      </c>
    </row>
    <row r="303" spans="1:16">
      <c r="A303" s="2" t="s">
        <v>334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>
        <v>63.6</v>
      </c>
    </row>
    <row r="304" spans="1:16">
      <c r="A304" s="2" t="s">
        <v>335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>
        <v>58.4</v>
      </c>
    </row>
    <row r="305" spans="1:16">
      <c r="A305" s="2" t="s">
        <v>336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>
        <v>52.7</v>
      </c>
    </row>
    <row r="306" spans="1:16">
      <c r="A306" s="2" t="s">
        <v>337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>
        <v>48.9</v>
      </c>
    </row>
    <row r="307" spans="1:16">
      <c r="A307" s="2" t="s">
        <v>338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>
        <v>79.7</v>
      </c>
    </row>
    <row r="308" spans="1:16">
      <c r="A308" s="2" t="s">
        <v>339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>
        <v>44.9</v>
      </c>
    </row>
    <row r="309" spans="1:16">
      <c r="A309" s="2" t="s">
        <v>340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>
        <v>38.799999999999997</v>
      </c>
    </row>
    <row r="310" spans="1:16">
      <c r="A310" s="2" t="s">
        <v>341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>
        <v>70</v>
      </c>
    </row>
    <row r="311" spans="1:16">
      <c r="A311" s="2" t="s">
        <v>342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>
        <v>77.7</v>
      </c>
    </row>
    <row r="312" spans="1:16">
      <c r="A312" s="2" t="s">
        <v>343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>
        <v>71.2</v>
      </c>
    </row>
    <row r="313" spans="1:16">
      <c r="A313" s="2" t="s">
        <v>344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>
        <v>43.8</v>
      </c>
    </row>
    <row r="314" spans="1:16">
      <c r="A314" s="2" t="s">
        <v>345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>
        <v>50.9</v>
      </c>
    </row>
    <row r="315" spans="1:16">
      <c r="A315" s="2" t="s">
        <v>346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>
        <v>58.5</v>
      </c>
    </row>
    <row r="316" spans="1:16">
      <c r="A316" s="2" t="s">
        <v>347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>
        <v>53.6</v>
      </c>
    </row>
    <row r="317" spans="1:16">
      <c r="A317" s="2" t="s">
        <v>348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>
        <v>54.9</v>
      </c>
    </row>
    <row r="318" spans="1:16">
      <c r="A318" s="2" t="s">
        <v>349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>
        <v>57.3</v>
      </c>
    </row>
    <row r="319" spans="1:16">
      <c r="A319" s="2" t="s">
        <v>350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>
        <v>52.1</v>
      </c>
    </row>
    <row r="320" spans="1:16">
      <c r="A320" s="2" t="s">
        <v>351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>
        <v>80</v>
      </c>
    </row>
    <row r="321" spans="1:16">
      <c r="A321" s="2" t="s">
        <v>352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>
        <v>39.299999999999997</v>
      </c>
    </row>
    <row r="322" spans="1:16">
      <c r="A322" s="2" t="s">
        <v>353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>
        <v>45.7</v>
      </c>
    </row>
    <row r="323" spans="1:16">
      <c r="A323" s="2" t="s">
        <v>354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>
        <v>61.2</v>
      </c>
    </row>
    <row r="324" spans="1:16">
      <c r="A324" s="2" t="s">
        <v>355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>
        <v>66.2</v>
      </c>
    </row>
    <row r="325" spans="1:16">
      <c r="A325" s="2" t="s">
        <v>356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>
        <v>61.3</v>
      </c>
    </row>
    <row r="326" spans="1:16">
      <c r="A326" s="2" t="s">
        <v>357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>
        <v>72.2</v>
      </c>
    </row>
    <row r="327" spans="1:16">
      <c r="A327" s="2" t="s">
        <v>358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>
        <v>84</v>
      </c>
    </row>
    <row r="328" spans="1:16">
      <c r="A328" s="2" t="s">
        <v>359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>
        <v>59.8</v>
      </c>
    </row>
    <row r="329" spans="1:16">
      <c r="A329" s="2" t="s">
        <v>360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>
        <v>64.900000000000006</v>
      </c>
    </row>
    <row r="330" spans="1:16">
      <c r="A330" s="2" t="s">
        <v>361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>
        <v>66.8</v>
      </c>
    </row>
    <row r="331" spans="1:16">
      <c r="A331" s="2" t="s">
        <v>362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>
        <v>70.900000000000006</v>
      </c>
    </row>
    <row r="332" spans="1:16">
      <c r="A332" s="2" t="s">
        <v>363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>
        <v>68.8</v>
      </c>
    </row>
    <row r="333" spans="1:16">
      <c r="A333" s="2" t="s">
        <v>364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>
        <v>72.400000000000006</v>
      </c>
    </row>
    <row r="334" spans="1:16">
      <c r="A334" s="2" t="s">
        <v>365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>
        <v>63.3</v>
      </c>
    </row>
    <row r="335" spans="1:16">
      <c r="A335" s="2" t="s">
        <v>366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>
        <v>30.8</v>
      </c>
    </row>
    <row r="336" spans="1:16">
      <c r="A336" s="2" t="s">
        <v>367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>
        <v>44.2</v>
      </c>
    </row>
    <row r="337" spans="1:16">
      <c r="A337" s="2" t="s">
        <v>368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>
        <v>56.2</v>
      </c>
    </row>
    <row r="338" spans="1:16">
      <c r="A338" s="2" t="s">
        <v>369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>
        <v>40.4</v>
      </c>
    </row>
    <row r="339" spans="1:16">
      <c r="A339" s="2" t="s">
        <v>370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>
        <v>68.099999999999994</v>
      </c>
    </row>
    <row r="340" spans="1:16">
      <c r="A340" s="2" t="s">
        <v>371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>
        <v>86.3</v>
      </c>
    </row>
    <row r="341" spans="1:16">
      <c r="A341" s="2" t="s">
        <v>372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>
        <v>42.9</v>
      </c>
    </row>
    <row r="342" spans="1:16">
      <c r="A342" s="2" t="s">
        <v>373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>
        <v>61.4</v>
      </c>
    </row>
    <row r="343" spans="1:16">
      <c r="A343" s="2" t="s">
        <v>374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>
        <v>73.3</v>
      </c>
    </row>
    <row r="344" spans="1:16">
      <c r="A344" s="2" t="s">
        <v>375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>
        <v>59.4</v>
      </c>
    </row>
    <row r="345" spans="1:16">
      <c r="A345" s="2" t="s">
        <v>376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>
        <v>35.200000000000003</v>
      </c>
    </row>
    <row r="346" spans="1:16">
      <c r="A346" s="2" t="s">
        <v>377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>
        <v>55.3</v>
      </c>
    </row>
    <row r="347" spans="1:16">
      <c r="A347" s="2" t="s">
        <v>378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>
        <v>37.5</v>
      </c>
    </row>
    <row r="348" spans="1:16">
      <c r="A348" s="2" t="s">
        <v>379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>
        <v>66.400000000000006</v>
      </c>
    </row>
    <row r="349" spans="1:16">
      <c r="A349" s="2" t="s">
        <v>380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>
        <v>61.9</v>
      </c>
    </row>
    <row r="350" spans="1:16">
      <c r="A350" s="2" t="s">
        <v>381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>
        <v>56</v>
      </c>
    </row>
    <row r="351" spans="1:16">
      <c r="A351" s="2" t="s">
        <v>382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>
        <v>55.5</v>
      </c>
    </row>
    <row r="352" spans="1:16">
      <c r="A352" s="2" t="s">
        <v>383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>
        <v>37.200000000000003</v>
      </c>
    </row>
    <row r="353" spans="1:16">
      <c r="A353" s="2" t="s">
        <v>384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>
        <v>70.5</v>
      </c>
    </row>
    <row r="354" spans="1:16">
      <c r="A354" s="2" t="s">
        <v>385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>
        <v>61.2</v>
      </c>
    </row>
    <row r="355" spans="1:16">
      <c r="A355" s="2" t="s">
        <v>386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>
        <v>64.599999999999994</v>
      </c>
    </row>
    <row r="356" spans="1:16">
      <c r="A356" s="2" t="s">
        <v>387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>
        <v>91.7</v>
      </c>
    </row>
    <row r="357" spans="1:16">
      <c r="A357" s="2" t="s">
        <v>388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>
        <v>46</v>
      </c>
    </row>
    <row r="358" spans="1:16">
      <c r="A358" s="2" t="s">
        <v>389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>
        <v>50.8</v>
      </c>
    </row>
    <row r="359" spans="1:16">
      <c r="A359" s="2" t="s">
        <v>390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>
        <v>52.8</v>
      </c>
    </row>
    <row r="360" spans="1:16">
      <c r="A360" s="2" t="s">
        <v>391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>
        <v>63</v>
      </c>
    </row>
    <row r="361" spans="1:16">
      <c r="A361" s="2" t="s">
        <v>392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>
        <v>28.4</v>
      </c>
    </row>
    <row r="362" spans="1:16">
      <c r="A362" s="2" t="s">
        <v>393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>
        <v>65.599999999999994</v>
      </c>
    </row>
    <row r="363" spans="1:16">
      <c r="A363" s="2" t="s">
        <v>394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>
        <v>54.7</v>
      </c>
    </row>
    <row r="364" spans="1:16">
      <c r="A364" s="2" t="s">
        <v>395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>
        <v>36.1</v>
      </c>
    </row>
    <row r="365" spans="1:16">
      <c r="A365" s="2" t="s">
        <v>396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>
        <v>70.400000000000006</v>
      </c>
    </row>
    <row r="366" spans="1:16">
      <c r="A366" s="2" t="s">
        <v>397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>
        <v>56.4</v>
      </c>
    </row>
    <row r="367" spans="1:16">
      <c r="A367" s="2" t="s">
        <v>398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>
        <v>79.2</v>
      </c>
    </row>
    <row r="368" spans="1:16">
      <c r="A368" s="2" t="s">
        <v>399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>
        <v>60.1</v>
      </c>
    </row>
    <row r="369" spans="1:16">
      <c r="A369" s="2" t="s">
        <v>400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>
        <v>58</v>
      </c>
    </row>
    <row r="370" spans="1:16">
      <c r="A370" s="2" t="s">
        <v>401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>
        <v>69</v>
      </c>
    </row>
    <row r="371" spans="1:16">
      <c r="A371" s="2" t="s">
        <v>402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>
        <v>80.8</v>
      </c>
    </row>
    <row r="372" spans="1:16">
      <c r="A372" s="2" t="s">
        <v>403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>
        <v>32.799999999999997</v>
      </c>
    </row>
    <row r="373" spans="1:16">
      <c r="A373" s="2" t="s">
        <v>404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>
        <v>56</v>
      </c>
    </row>
    <row r="374" spans="1:16">
      <c r="A374" s="2" t="s">
        <v>405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>
        <v>76.400000000000006</v>
      </c>
    </row>
    <row r="375" spans="1:16">
      <c r="A375" s="2" t="s">
        <v>406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>
        <v>28.5</v>
      </c>
    </row>
    <row r="376" spans="1:16">
      <c r="A376" s="2" t="s">
        <v>407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>
        <v>48.3</v>
      </c>
    </row>
    <row r="377" spans="1:16">
      <c r="A377" s="2" t="s">
        <v>408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>
        <v>43.4</v>
      </c>
    </row>
    <row r="378" spans="1:16">
      <c r="A378" s="2" t="s">
        <v>409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>
        <v>43</v>
      </c>
    </row>
    <row r="379" spans="1:16">
      <c r="A379" s="2" t="s">
        <v>410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>
        <v>91.8</v>
      </c>
    </row>
    <row r="380" spans="1:16">
      <c r="A380" s="2" t="s">
        <v>411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>
        <v>69.3</v>
      </c>
    </row>
    <row r="381" spans="1:16">
      <c r="A381" s="2" t="s">
        <v>412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>
        <v>58.9</v>
      </c>
    </row>
    <row r="382" spans="1:16">
      <c r="A382" s="2" t="s">
        <v>413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>
        <v>76</v>
      </c>
    </row>
    <row r="383" spans="1:16">
      <c r="A383" s="2" t="s">
        <v>414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>
        <v>46</v>
      </c>
    </row>
    <row r="384" spans="1:16">
      <c r="A384" s="2" t="s">
        <v>415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>
        <v>54.1</v>
      </c>
    </row>
    <row r="385" spans="1:16">
      <c r="A385" s="2" t="s">
        <v>416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>
        <v>82.4</v>
      </c>
    </row>
    <row r="386" spans="1:16">
      <c r="A386" s="2" t="s">
        <v>417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>
        <v>71.900000000000006</v>
      </c>
    </row>
    <row r="387" spans="1:16">
      <c r="A387" s="2" t="s">
        <v>418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>
        <v>38</v>
      </c>
    </row>
    <row r="388" spans="1:16">
      <c r="A388" s="2" t="s">
        <v>419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>
        <v>43.7</v>
      </c>
    </row>
    <row r="389" spans="1:16">
      <c r="A389" s="2" t="s">
        <v>420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>
        <v>32.200000000000003</v>
      </c>
    </row>
    <row r="390" spans="1:16">
      <c r="A390" s="2" t="s">
        <v>421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>
        <v>61</v>
      </c>
    </row>
    <row r="391" spans="1:16">
      <c r="A391" s="2" t="s">
        <v>422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>
        <v>49</v>
      </c>
    </row>
    <row r="392" spans="1:16">
      <c r="A392" s="2" t="s">
        <v>423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>
        <v>48.1</v>
      </c>
    </row>
    <row r="393" spans="1:16">
      <c r="A393" s="2" t="s">
        <v>424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>
        <v>46.3</v>
      </c>
    </row>
    <row r="394" spans="1:16">
      <c r="A394" s="2" t="s">
        <v>425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>
        <v>64</v>
      </c>
    </row>
    <row r="395" spans="1:16">
      <c r="A395" s="2" t="s">
        <v>426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>
        <v>56.2</v>
      </c>
    </row>
    <row r="396" spans="1:16">
      <c r="A396" s="2" t="s">
        <v>427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>
        <v>77.5</v>
      </c>
    </row>
    <row r="397" spans="1:16">
      <c r="A397" s="2" t="s">
        <v>428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>
        <v>59.9</v>
      </c>
    </row>
    <row r="398" spans="1:16">
      <c r="A398" s="2" t="s">
        <v>429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>
        <v>63</v>
      </c>
    </row>
    <row r="399" spans="1:16">
      <c r="A399" s="2" t="s">
        <v>430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>
        <v>76.5</v>
      </c>
    </row>
    <row r="400" spans="1:16">
      <c r="A400" s="2" t="s">
        <v>431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>
        <v>39.700000000000003</v>
      </c>
    </row>
    <row r="401" spans="1:16">
      <c r="A401" s="2" t="s">
        <v>432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>
        <v>80.2</v>
      </c>
    </row>
    <row r="402" spans="1:16">
      <c r="A402" s="2" t="s">
        <v>433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>
        <v>72.2</v>
      </c>
    </row>
    <row r="403" spans="1:16">
      <c r="A403" s="2" t="s">
        <v>434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>
        <v>56</v>
      </c>
    </row>
    <row r="404" spans="1:16">
      <c r="A404" s="2" t="s">
        <v>435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>
        <v>69.099999999999994</v>
      </c>
    </row>
    <row r="405" spans="1:16">
      <c r="A405" s="2" t="s">
        <v>436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>
        <v>70.599999999999994</v>
      </c>
    </row>
    <row r="406" spans="1:16">
      <c r="A406" s="2" t="s">
        <v>437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>
        <v>57.9</v>
      </c>
    </row>
    <row r="407" spans="1:16">
      <c r="A407" s="2" t="s">
        <v>438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>
        <v>41.4</v>
      </c>
    </row>
    <row r="408" spans="1:16">
      <c r="A408" s="2" t="s">
        <v>439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>
        <v>60.9</v>
      </c>
    </row>
    <row r="409" spans="1:16">
      <c r="A409" s="2" t="s">
        <v>440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>
        <v>63.8</v>
      </c>
    </row>
    <row r="410" spans="1:16">
      <c r="A410" s="2" t="s">
        <v>441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>
        <v>79.2</v>
      </c>
    </row>
    <row r="411" spans="1:16">
      <c r="A411" s="2" t="s">
        <v>442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>
        <v>53.3</v>
      </c>
    </row>
    <row r="412" spans="1:16">
      <c r="A412" s="2" t="s">
        <v>443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>
        <v>52.3</v>
      </c>
    </row>
    <row r="413" spans="1:16">
      <c r="A413" s="2" t="s">
        <v>444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>
        <v>62.4</v>
      </c>
    </row>
    <row r="414" spans="1:16">
      <c r="A414" s="2" t="s">
        <v>445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>
        <v>45.5</v>
      </c>
    </row>
    <row r="415" spans="1:16">
      <c r="A415" s="2" t="s">
        <v>446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>
        <v>72.599999999999994</v>
      </c>
    </row>
    <row r="416" spans="1:16">
      <c r="A416" s="2" t="s">
        <v>447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>
        <v>50.1</v>
      </c>
    </row>
    <row r="417" spans="1:16">
      <c r="A417" s="2" t="s">
        <v>448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>
        <v>58.1</v>
      </c>
    </row>
    <row r="418" spans="1:16">
      <c r="A418" s="2" t="s">
        <v>449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>
        <v>42.9</v>
      </c>
    </row>
    <row r="419" spans="1:16">
      <c r="A419" s="2" t="s">
        <v>450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>
        <v>69.7</v>
      </c>
    </row>
    <row r="420" spans="1:16">
      <c r="A420" s="2" t="s">
        <v>451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>
        <v>63.3</v>
      </c>
    </row>
    <row r="421" spans="1:16">
      <c r="A421" s="2" t="s">
        <v>452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>
        <v>71.2</v>
      </c>
    </row>
    <row r="422" spans="1:16">
      <c r="A422" s="2" t="s">
        <v>453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>
        <v>39.1</v>
      </c>
    </row>
    <row r="423" spans="1:16">
      <c r="A423" s="2" t="s">
        <v>454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>
        <v>42.6</v>
      </c>
    </row>
    <row r="424" spans="1:16">
      <c r="A424" s="2" t="s">
        <v>455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>
        <v>74.400000000000006</v>
      </c>
    </row>
    <row r="425" spans="1:16">
      <c r="A425" s="2" t="s">
        <v>456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>
        <v>55.6</v>
      </c>
    </row>
    <row r="426" spans="1:16">
      <c r="A426" s="2" t="s">
        <v>457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>
        <v>35.799999999999997</v>
      </c>
    </row>
    <row r="427" spans="1:16">
      <c r="A427" s="2" t="s">
        <v>458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>
        <v>28.2</v>
      </c>
    </row>
    <row r="428" spans="1:16">
      <c r="A428" s="2" t="s">
        <v>459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>
        <v>44.4</v>
      </c>
    </row>
    <row r="429" spans="1:16">
      <c r="A429" s="2" t="s">
        <v>460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>
        <v>49.9</v>
      </c>
    </row>
    <row r="430" spans="1:16">
      <c r="A430" s="2" t="s">
        <v>461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>
        <v>40.4</v>
      </c>
    </row>
    <row r="431" spans="1:16">
      <c r="A431" s="2" t="s">
        <v>462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>
        <v>60.4</v>
      </c>
    </row>
    <row r="432" spans="1:16">
      <c r="A432" s="2" t="s">
        <v>463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>
        <v>52.4</v>
      </c>
    </row>
    <row r="433" spans="1:16">
      <c r="A433" s="2" t="s">
        <v>464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>
        <v>48.8</v>
      </c>
    </row>
    <row r="434" spans="1:16">
      <c r="A434" s="2" t="s">
        <v>465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>
        <v>60.9</v>
      </c>
    </row>
    <row r="435" spans="1:16">
      <c r="A435" s="2" t="s">
        <v>466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>
        <v>68.2</v>
      </c>
    </row>
    <row r="436" spans="1:16">
      <c r="A436" s="2" t="s">
        <v>467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>
        <v>65.599999999999994</v>
      </c>
    </row>
    <row r="437" spans="1:16">
      <c r="A437" s="2" t="s">
        <v>468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>
        <v>65.400000000000006</v>
      </c>
    </row>
    <row r="438" spans="1:16">
      <c r="A438" s="2" t="s">
        <v>469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>
        <v>78.900000000000006</v>
      </c>
    </row>
    <row r="439" spans="1:16">
      <c r="A439" s="2" t="s">
        <v>470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>
        <v>78.3</v>
      </c>
    </row>
    <row r="440" spans="1:16">
      <c r="A440" s="2" t="s">
        <v>471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>
        <v>49.2</v>
      </c>
    </row>
    <row r="441" spans="1:16">
      <c r="A441" s="2" t="s">
        <v>472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>
        <v>32.200000000000003</v>
      </c>
    </row>
    <row r="442" spans="1:16">
      <c r="A442" s="2" t="s">
        <v>473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>
        <v>46.3</v>
      </c>
    </row>
    <row r="443" spans="1:16">
      <c r="A443" s="2" t="s">
        <v>474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>
        <v>55.7</v>
      </c>
    </row>
    <row r="444" spans="1:16">
      <c r="A444" s="2" t="s">
        <v>475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>
        <v>44.5</v>
      </c>
    </row>
    <row r="445" spans="1:16">
      <c r="A445" s="2" t="s">
        <v>476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>
        <v>47.9</v>
      </c>
    </row>
    <row r="446" spans="1:16">
      <c r="A446" s="2" t="s">
        <v>477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>
        <v>43.9</v>
      </c>
    </row>
    <row r="447" spans="1:16">
      <c r="A447" s="2" t="s">
        <v>478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>
        <v>67.7</v>
      </c>
    </row>
    <row r="448" spans="1:16">
      <c r="A448" s="2" t="s">
        <v>479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>
        <v>43.7</v>
      </c>
    </row>
    <row r="449" spans="1:16">
      <c r="A449" s="2" t="s">
        <v>480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>
        <v>68.8</v>
      </c>
    </row>
    <row r="450" spans="1:16">
      <c r="A450" s="2" t="s">
        <v>481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>
        <v>59.2</v>
      </c>
    </row>
    <row r="451" spans="1:16">
      <c r="A451" s="2" t="s">
        <v>482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>
        <v>48.6</v>
      </c>
    </row>
    <row r="452" spans="1:16">
      <c r="A452" s="2" t="s">
        <v>483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>
        <v>56.9</v>
      </c>
    </row>
    <row r="453" spans="1:16">
      <c r="A453" s="2" t="s">
        <v>484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>
        <v>55.8</v>
      </c>
    </row>
    <row r="454" spans="1:16">
      <c r="A454" s="2" t="s">
        <v>485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>
        <v>63.3</v>
      </c>
    </row>
    <row r="455" spans="1:16">
      <c r="A455" s="2" t="s">
        <v>486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>
        <v>52.2</v>
      </c>
    </row>
    <row r="456" spans="1:16">
      <c r="A456" s="2" t="s">
        <v>487</v>
      </c>
      <c r="B456" s="3">
        <v>45713</v>
      </c>
      <c r="C456" s="2" t="s">
        <v>17</v>
      </c>
      <c r="D456" s="2" t="s">
        <v>32</v>
      </c>
      <c r="E456" s="2" t="s">
        <v>34</v>
      </c>
      <c r="F456" s="2" t="s">
        <v>156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>
        <v>51.5</v>
      </c>
    </row>
    <row r="457" spans="1:16">
      <c r="A457" s="2" t="s">
        <v>488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>
        <v>50.3</v>
      </c>
    </row>
    <row r="458" spans="1:16">
      <c r="A458" s="2" t="s">
        <v>489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>
        <v>35.4</v>
      </c>
    </row>
    <row r="459" spans="1:16">
      <c r="A459" s="2" t="s">
        <v>490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>
        <v>54.1</v>
      </c>
    </row>
    <row r="460" spans="1:16">
      <c r="A460" s="2" t="s">
        <v>491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>
        <v>56.2</v>
      </c>
    </row>
    <row r="461" spans="1:16">
      <c r="A461" s="2" t="s">
        <v>492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>
        <v>43.7</v>
      </c>
    </row>
    <row r="462" spans="1:16">
      <c r="A462" s="2" t="s">
        <v>493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>
        <v>51.3</v>
      </c>
    </row>
    <row r="463" spans="1:16">
      <c r="A463" s="2" t="s">
        <v>494</v>
      </c>
      <c r="B463" s="3">
        <v>45796</v>
      </c>
      <c r="C463" s="2" t="s">
        <v>17</v>
      </c>
      <c r="D463" s="2" t="s">
        <v>18</v>
      </c>
      <c r="E463" s="2" t="s">
        <v>156</v>
      </c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>
        <v>50.5</v>
      </c>
    </row>
    <row r="464" spans="1:16">
      <c r="A464" s="2" t="s">
        <v>495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>
        <v>57.3</v>
      </c>
    </row>
    <row r="465" spans="1:16">
      <c r="A465" s="2" t="s">
        <v>496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>
        <v>58.4</v>
      </c>
    </row>
    <row r="466" spans="1:16">
      <c r="A466" s="2" t="s">
        <v>497</v>
      </c>
      <c r="B466" s="3">
        <v>45759</v>
      </c>
      <c r="C466" s="2" t="s">
        <v>17</v>
      </c>
      <c r="D466" s="2" t="s">
        <v>18</v>
      </c>
      <c r="E466" s="2" t="s">
        <v>24</v>
      </c>
      <c r="F466" s="2" t="s">
        <v>156</v>
      </c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>
        <v>56.5</v>
      </c>
    </row>
    <row r="467" spans="1:16">
      <c r="A467" s="2" t="s">
        <v>498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>
        <v>69.599999999999994</v>
      </c>
    </row>
    <row r="468" spans="1:16">
      <c r="A468" s="2" t="s">
        <v>499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>
        <v>6.2</v>
      </c>
    </row>
    <row r="469" spans="1:16">
      <c r="A469" s="2" t="s">
        <v>500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>
        <v>54.3</v>
      </c>
    </row>
    <row r="470" spans="1:16">
      <c r="A470" s="2" t="s">
        <v>501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>
        <v>59.8</v>
      </c>
    </row>
    <row r="471" spans="1:16">
      <c r="A471" s="2" t="s">
        <v>502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>
        <v>58.9</v>
      </c>
    </row>
    <row r="472" spans="1:16">
      <c r="A472" s="2" t="s">
        <v>503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>
        <v>52.9</v>
      </c>
    </row>
    <row r="473" spans="1:16">
      <c r="A473" s="2" t="s">
        <v>504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>
        <v>67.8</v>
      </c>
    </row>
    <row r="474" spans="1:16">
      <c r="A474" s="2" t="s">
        <v>505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>
        <v>48.7</v>
      </c>
    </row>
    <row r="475" spans="1:16">
      <c r="A475" s="2" t="s">
        <v>506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>
        <v>59</v>
      </c>
    </row>
    <row r="476" spans="1:16">
      <c r="A476" s="2" t="s">
        <v>507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>
        <v>63.2</v>
      </c>
    </row>
    <row r="477" spans="1:16">
      <c r="A477" s="2" t="s">
        <v>508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>
        <v>68.7</v>
      </c>
    </row>
    <row r="478" spans="1:16">
      <c r="A478" s="2" t="s">
        <v>509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>
        <v>52.1</v>
      </c>
    </row>
    <row r="479" spans="1:16">
      <c r="A479" s="2" t="s">
        <v>510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>
        <v>56.5</v>
      </c>
    </row>
    <row r="480" spans="1:16">
      <c r="A480" s="2" t="s">
        <v>511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>
        <v>64.400000000000006</v>
      </c>
    </row>
    <row r="481" spans="1:16">
      <c r="A481" s="2" t="s">
        <v>512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>
        <v>65.900000000000006</v>
      </c>
    </row>
    <row r="482" spans="1:16">
      <c r="A482" s="2" t="s">
        <v>513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>
        <v>100</v>
      </c>
    </row>
    <row r="483" spans="1:16">
      <c r="A483" s="2" t="s">
        <v>514</v>
      </c>
      <c r="B483" s="3">
        <v>45701</v>
      </c>
      <c r="C483" s="2" t="s">
        <v>17</v>
      </c>
      <c r="D483" s="2" t="s">
        <v>18</v>
      </c>
      <c r="E483" s="2" t="s">
        <v>156</v>
      </c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>
        <v>50.4</v>
      </c>
    </row>
    <row r="484" spans="1:16">
      <c r="A484" s="2" t="s">
        <v>515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>
        <v>41.5</v>
      </c>
    </row>
    <row r="485" spans="1:16">
      <c r="A485" s="2" t="s">
        <v>516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>
        <v>86.2</v>
      </c>
    </row>
    <row r="486" spans="1:16">
      <c r="A486" s="2" t="s">
        <v>517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>
        <v>50.8</v>
      </c>
    </row>
    <row r="487" spans="1:16">
      <c r="A487" s="2" t="s">
        <v>518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>
        <v>50.9</v>
      </c>
    </row>
    <row r="488" spans="1:16">
      <c r="A488" s="2" t="s">
        <v>519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>
        <v>87.5</v>
      </c>
    </row>
    <row r="489" spans="1:16">
      <c r="A489" s="2" t="s">
        <v>520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>
        <v>43.6</v>
      </c>
    </row>
    <row r="490" spans="1:16">
      <c r="A490" s="2" t="s">
        <v>521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>
        <v>55.5</v>
      </c>
    </row>
    <row r="491" spans="1:16">
      <c r="A491" s="2" t="s">
        <v>522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>
        <v>78.599999999999994</v>
      </c>
    </row>
    <row r="492" spans="1:16">
      <c r="A492" s="2" t="s">
        <v>523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>
        <v>44.3</v>
      </c>
    </row>
    <row r="493" spans="1:16">
      <c r="A493" s="2" t="s">
        <v>524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>
        <v>45.2</v>
      </c>
    </row>
    <row r="494" spans="1:16">
      <c r="A494" s="2" t="s">
        <v>525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>
        <v>46.1</v>
      </c>
    </row>
    <row r="495" spans="1:16">
      <c r="A495" s="2" t="s">
        <v>526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>
        <v>49.6</v>
      </c>
    </row>
    <row r="496" spans="1:16">
      <c r="A496" s="2" t="s">
        <v>527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>
        <v>70.5</v>
      </c>
    </row>
    <row r="497" spans="1:16">
      <c r="A497" s="2" t="s">
        <v>528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>
        <v>60.8</v>
      </c>
    </row>
    <row r="498" spans="1:16">
      <c r="A498" s="2" t="s">
        <v>529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>
        <v>50.5</v>
      </c>
    </row>
    <row r="499" spans="1:16">
      <c r="A499" s="2" t="s">
        <v>530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>
        <v>54.9</v>
      </c>
    </row>
    <row r="500" spans="1:16">
      <c r="A500" s="2" t="s">
        <v>531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>
        <v>29.9</v>
      </c>
    </row>
    <row r="501" spans="1:16">
      <c r="A501" s="2" t="s">
        <v>532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>
        <v>48.3</v>
      </c>
    </row>
    <row r="502" spans="1:16">
      <c r="A502" s="2" t="s">
        <v>533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>
        <v>41.3</v>
      </c>
    </row>
    <row r="503" spans="1:16">
      <c r="A503" s="2" t="s">
        <v>534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>
        <v>61.4</v>
      </c>
    </row>
    <row r="504" spans="1:16">
      <c r="A504" s="2" t="s">
        <v>535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>
        <v>57.8</v>
      </c>
    </row>
    <row r="505" spans="1:16">
      <c r="A505" s="2" t="s">
        <v>536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>
        <v>78.2</v>
      </c>
    </row>
    <row r="506" spans="1:16">
      <c r="A506" s="2" t="s">
        <v>537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>
        <v>63.8</v>
      </c>
    </row>
    <row r="507" spans="1:16">
      <c r="A507" s="2" t="s">
        <v>538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>
        <v>56.8</v>
      </c>
    </row>
    <row r="508" spans="1:16">
      <c r="A508" s="2" t="s">
        <v>539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>
        <v>59.6</v>
      </c>
    </row>
    <row r="509" spans="1:16">
      <c r="A509" s="2" t="s">
        <v>540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>
        <v>50</v>
      </c>
    </row>
    <row r="510" spans="1:16">
      <c r="A510" s="2" t="s">
        <v>541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>
        <v>35.700000000000003</v>
      </c>
    </row>
    <row r="511" spans="1:16">
      <c r="A511" s="2" t="s">
        <v>542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>
        <v>47.2</v>
      </c>
    </row>
    <row r="512" spans="1:16">
      <c r="A512" s="2" t="s">
        <v>543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>
        <v>56.9</v>
      </c>
    </row>
    <row r="513" spans="1:16">
      <c r="A513" s="2" t="s">
        <v>544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>
        <v>57.2</v>
      </c>
    </row>
    <row r="514" spans="1:16">
      <c r="A514" s="2" t="s">
        <v>545</v>
      </c>
      <c r="B514" s="3">
        <v>45701</v>
      </c>
      <c r="C514" s="2" t="s">
        <v>17</v>
      </c>
      <c r="D514" s="2" t="s">
        <v>32</v>
      </c>
      <c r="E514" s="2" t="s">
        <v>24</v>
      </c>
      <c r="F514" s="2" t="s">
        <v>156</v>
      </c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>
        <v>31.4</v>
      </c>
    </row>
    <row r="515" spans="1:16">
      <c r="A515" s="2" t="s">
        <v>546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>
        <v>71.2</v>
      </c>
    </row>
    <row r="516" spans="1:16">
      <c r="A516" s="2" t="s">
        <v>547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>
        <v>38.299999999999997</v>
      </c>
    </row>
    <row r="517" spans="1:16">
      <c r="A517" s="2" t="s">
        <v>548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>
        <v>63.1</v>
      </c>
    </row>
    <row r="518" spans="1:16">
      <c r="A518" s="2" t="s">
        <v>549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>
        <v>59.7</v>
      </c>
    </row>
    <row r="519" spans="1:16">
      <c r="A519" s="2" t="s">
        <v>550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>
        <v>59.5</v>
      </c>
    </row>
    <row r="520" spans="1:16">
      <c r="A520" s="2" t="s">
        <v>551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>
        <v>78.8</v>
      </c>
    </row>
    <row r="521" spans="1:16">
      <c r="A521" s="2" t="s">
        <v>552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>
        <v>54</v>
      </c>
    </row>
    <row r="522" spans="1:16">
      <c r="A522" s="2" t="s">
        <v>553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>
        <v>66.3</v>
      </c>
    </row>
    <row r="523" spans="1:16">
      <c r="A523" s="2" t="s">
        <v>554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>
        <v>54.7</v>
      </c>
    </row>
    <row r="524" spans="1:16">
      <c r="A524" s="2" t="s">
        <v>555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>
        <v>76.7</v>
      </c>
    </row>
    <row r="525" spans="1:16">
      <c r="A525" s="2" t="s">
        <v>556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>
        <v>47.4</v>
      </c>
    </row>
    <row r="526" spans="1:16">
      <c r="A526" s="2" t="s">
        <v>557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>
        <v>81.7</v>
      </c>
    </row>
    <row r="527" spans="1:16">
      <c r="A527" s="2" t="s">
        <v>558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>
        <v>67.5</v>
      </c>
    </row>
    <row r="528" spans="1:16">
      <c r="A528" s="2" t="s">
        <v>559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>
        <v>36.799999999999997</v>
      </c>
    </row>
    <row r="529" spans="1:16">
      <c r="A529" s="2" t="s">
        <v>560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>
        <v>66.5</v>
      </c>
    </row>
    <row r="530" spans="1:16">
      <c r="A530" s="2" t="s">
        <v>561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>
        <v>35.4</v>
      </c>
    </row>
    <row r="531" spans="1:16">
      <c r="A531" s="2" t="s">
        <v>562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>
        <v>64.3</v>
      </c>
    </row>
    <row r="532" spans="1:16">
      <c r="A532" s="2" t="s">
        <v>563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>
        <v>49.1</v>
      </c>
    </row>
    <row r="533" spans="1:16">
      <c r="A533" s="2" t="s">
        <v>564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>
        <v>84.3</v>
      </c>
    </row>
    <row r="534" spans="1:16">
      <c r="A534" s="2" t="s">
        <v>565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>
        <v>65.599999999999994</v>
      </c>
    </row>
    <row r="535" spans="1:16">
      <c r="A535" s="2" t="s">
        <v>566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>
        <v>47.1</v>
      </c>
    </row>
    <row r="536" spans="1:16">
      <c r="A536" s="2" t="s">
        <v>567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>
        <v>70</v>
      </c>
    </row>
    <row r="537" spans="1:16">
      <c r="A537" s="2" t="s">
        <v>568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>
        <v>54.6</v>
      </c>
    </row>
    <row r="538" spans="1:16">
      <c r="A538" s="2" t="s">
        <v>569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>
        <v>65.2</v>
      </c>
    </row>
    <row r="539" spans="1:16">
      <c r="A539" s="2" t="s">
        <v>570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>
        <v>65</v>
      </c>
    </row>
    <row r="540" spans="1:16">
      <c r="A540" s="2" t="s">
        <v>571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>
        <v>42.1</v>
      </c>
    </row>
    <row r="541" spans="1:16">
      <c r="A541" s="2" t="s">
        <v>572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>
        <v>43.4</v>
      </c>
    </row>
    <row r="542" spans="1:16">
      <c r="A542" s="2" t="s">
        <v>573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>
        <v>39.9</v>
      </c>
    </row>
    <row r="543" spans="1:16">
      <c r="A543" s="2" t="s">
        <v>574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>
        <v>74.099999999999994</v>
      </c>
    </row>
    <row r="544" spans="1:16">
      <c r="A544" s="2" t="s">
        <v>575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>
        <v>61.4</v>
      </c>
    </row>
    <row r="545" spans="1:16">
      <c r="A545" s="2" t="s">
        <v>576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>
        <v>76.8</v>
      </c>
    </row>
    <row r="546" spans="1:16">
      <c r="A546" s="2" t="s">
        <v>577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>
        <v>59.9</v>
      </c>
    </row>
    <row r="547" spans="1:16">
      <c r="A547" s="2" t="s">
        <v>578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>
        <v>45.3</v>
      </c>
    </row>
    <row r="548" spans="1:16">
      <c r="A548" s="2" t="s">
        <v>579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>
        <v>41.4</v>
      </c>
    </row>
    <row r="549" spans="1:16">
      <c r="A549" s="2" t="s">
        <v>580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>
        <v>37.1</v>
      </c>
    </row>
    <row r="550" spans="1:16">
      <c r="A550" s="2" t="s">
        <v>581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>
        <v>40.700000000000003</v>
      </c>
    </row>
    <row r="551" spans="1:16">
      <c r="A551" s="2" t="s">
        <v>582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>
        <v>55.9</v>
      </c>
    </row>
    <row r="552" spans="1:16">
      <c r="A552" s="2" t="s">
        <v>583</v>
      </c>
      <c r="B552" s="3">
        <v>45699</v>
      </c>
      <c r="C552" s="2" t="s">
        <v>17</v>
      </c>
      <c r="D552" s="2" t="s">
        <v>28</v>
      </c>
      <c r="E552" s="2" t="s">
        <v>156</v>
      </c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>
        <v>55.8</v>
      </c>
    </row>
    <row r="553" spans="1:16">
      <c r="A553" s="2" t="s">
        <v>584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>
        <v>64.3</v>
      </c>
    </row>
    <row r="554" spans="1:16">
      <c r="A554" s="2" t="s">
        <v>585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>
        <v>65.400000000000006</v>
      </c>
    </row>
    <row r="555" spans="1:16">
      <c r="A555" s="2" t="s">
        <v>586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>
        <v>89.8</v>
      </c>
    </row>
    <row r="556" spans="1:16">
      <c r="A556" s="2" t="s">
        <v>587</v>
      </c>
      <c r="B556" s="3">
        <v>45699</v>
      </c>
      <c r="C556" s="2" t="s">
        <v>17</v>
      </c>
      <c r="D556" s="2" t="s">
        <v>32</v>
      </c>
      <c r="E556" s="2" t="s">
        <v>156</v>
      </c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>
        <v>58.3</v>
      </c>
    </row>
    <row r="557" spans="1:16">
      <c r="A557" s="2" t="s">
        <v>588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>
        <v>64.400000000000006</v>
      </c>
    </row>
    <row r="558" spans="1:16">
      <c r="A558" s="2" t="s">
        <v>589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>
        <v>46.2</v>
      </c>
    </row>
    <row r="559" spans="1:16">
      <c r="A559" s="2" t="s">
        <v>590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>
        <v>78</v>
      </c>
    </row>
    <row r="560" spans="1:16">
      <c r="A560" s="2" t="s">
        <v>591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>
        <v>62.3</v>
      </c>
    </row>
    <row r="561" spans="1:16">
      <c r="A561" s="2" t="s">
        <v>592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>
        <v>78.8</v>
      </c>
    </row>
    <row r="562" spans="1:16">
      <c r="A562" s="2" t="s">
        <v>593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>
        <v>25</v>
      </c>
    </row>
    <row r="563" spans="1:16">
      <c r="A563" s="2" t="s">
        <v>594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>
        <v>53.4</v>
      </c>
    </row>
    <row r="564" spans="1:16">
      <c r="A564" s="2" t="s">
        <v>595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>
        <v>40.700000000000003</v>
      </c>
    </row>
    <row r="565" spans="1:16">
      <c r="A565" s="2" t="s">
        <v>596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>
        <v>36.700000000000003</v>
      </c>
    </row>
    <row r="566" spans="1:16">
      <c r="A566" s="2" t="s">
        <v>597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>
        <v>67.5</v>
      </c>
    </row>
    <row r="567" spans="1:16">
      <c r="A567" s="2" t="s">
        <v>598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>
        <v>69.900000000000006</v>
      </c>
    </row>
    <row r="568" spans="1:16">
      <c r="A568" s="2" t="s">
        <v>599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>
        <v>65.099999999999994</v>
      </c>
    </row>
    <row r="569" spans="1:16">
      <c r="A569" s="2" t="s">
        <v>600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>
        <v>48.7</v>
      </c>
    </row>
    <row r="570" spans="1:16">
      <c r="A570" s="2" t="s">
        <v>601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>
        <v>47.2</v>
      </c>
    </row>
    <row r="571" spans="1:16">
      <c r="A571" s="2" t="s">
        <v>602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>
        <v>20.3</v>
      </c>
    </row>
    <row r="572" spans="1:16">
      <c r="A572" s="2" t="s">
        <v>603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>
        <v>57.8</v>
      </c>
    </row>
    <row r="573" spans="1:16">
      <c r="A573" s="2" t="s">
        <v>604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>
        <v>78.7</v>
      </c>
    </row>
    <row r="574" spans="1:16">
      <c r="A574" s="2" t="s">
        <v>605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>
        <v>63.6</v>
      </c>
    </row>
    <row r="575" spans="1:16">
      <c r="A575" s="2" t="s">
        <v>606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>
        <v>45.1</v>
      </c>
    </row>
    <row r="576" spans="1:16">
      <c r="A576" s="2" t="s">
        <v>607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>
        <v>77.5</v>
      </c>
    </row>
    <row r="577" spans="1:16">
      <c r="A577" s="2" t="s">
        <v>608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>
        <v>58</v>
      </c>
    </row>
    <row r="578" spans="1:16">
      <c r="A578" s="2" t="s">
        <v>609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>
        <v>68.099999999999994</v>
      </c>
    </row>
    <row r="579" spans="1:16">
      <c r="A579" s="2" t="s">
        <v>610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>
        <v>35.4</v>
      </c>
    </row>
    <row r="580" spans="1:16">
      <c r="A580" s="2" t="s">
        <v>611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>
        <v>47</v>
      </c>
    </row>
    <row r="581" spans="1:16">
      <c r="A581" s="2" t="s">
        <v>612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>
        <v>75</v>
      </c>
    </row>
    <row r="582" spans="1:16">
      <c r="A582" s="2" t="s">
        <v>613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>
        <v>50.2</v>
      </c>
    </row>
    <row r="583" spans="1:16">
      <c r="A583" s="2" t="s">
        <v>614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>
        <v>40.1</v>
      </c>
    </row>
    <row r="584" spans="1:16">
      <c r="A584" s="2" t="s">
        <v>615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>
        <v>61.1</v>
      </c>
    </row>
    <row r="585" spans="1:16">
      <c r="A585" s="2" t="s">
        <v>616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>
        <v>42.4</v>
      </c>
    </row>
    <row r="586" spans="1:16">
      <c r="A586" s="2" t="s">
        <v>617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>
        <v>46.6</v>
      </c>
    </row>
    <row r="587" spans="1:16">
      <c r="A587" s="2" t="s">
        <v>618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>
        <v>72.099999999999994</v>
      </c>
    </row>
    <row r="588" spans="1:16">
      <c r="A588" s="2" t="s">
        <v>619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>
        <v>21.5</v>
      </c>
    </row>
    <row r="589" spans="1:16">
      <c r="A589" s="2" t="s">
        <v>620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>
        <v>65.400000000000006</v>
      </c>
    </row>
    <row r="590" spans="1:16">
      <c r="A590" s="2" t="s">
        <v>621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>
        <v>53.3</v>
      </c>
    </row>
    <row r="591" spans="1:16">
      <c r="A591" s="2" t="s">
        <v>622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>
        <v>52.3</v>
      </c>
    </row>
    <row r="592" spans="1:16">
      <c r="A592" s="2" t="s">
        <v>623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>
        <v>62.5</v>
      </c>
    </row>
    <row r="593" spans="1:16">
      <c r="A593" s="2" t="s">
        <v>624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>
        <v>69.8</v>
      </c>
    </row>
    <row r="594" spans="1:16">
      <c r="A594" s="2" t="s">
        <v>625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>
        <v>68.2</v>
      </c>
    </row>
    <row r="595" spans="1:16">
      <c r="A595" s="2" t="s">
        <v>626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>
        <v>35.200000000000003</v>
      </c>
    </row>
    <row r="596" spans="1:16">
      <c r="A596" s="2" t="s">
        <v>627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>
        <v>59.3</v>
      </c>
    </row>
    <row r="597" spans="1:16">
      <c r="A597" s="2" t="s">
        <v>628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>
        <v>68.099999999999994</v>
      </c>
    </row>
    <row r="598" spans="1:16">
      <c r="A598" s="2" t="s">
        <v>629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>
        <v>74.8</v>
      </c>
    </row>
    <row r="599" spans="1:16">
      <c r="A599" s="2" t="s">
        <v>630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>
        <v>61.7</v>
      </c>
    </row>
    <row r="600" spans="1:16">
      <c r="A600" s="2" t="s">
        <v>631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>
        <v>24.3</v>
      </c>
    </row>
    <row r="601" spans="1:16">
      <c r="A601" s="2" t="s">
        <v>632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>
        <v>61.9</v>
      </c>
    </row>
    <row r="602" spans="1:16">
      <c r="A602" s="2" t="s">
        <v>633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>
        <v>41.7</v>
      </c>
    </row>
    <row r="603" spans="1:16">
      <c r="A603" s="2" t="s">
        <v>634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>
        <v>87.6</v>
      </c>
    </row>
    <row r="604" spans="1:16">
      <c r="A604" s="2" t="s">
        <v>635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>
        <v>30.8</v>
      </c>
    </row>
    <row r="605" spans="1:16">
      <c r="A605" s="2" t="s">
        <v>636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>
        <v>54</v>
      </c>
    </row>
    <row r="606" spans="1:16">
      <c r="A606" s="2" t="s">
        <v>637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>
        <v>54.5</v>
      </c>
    </row>
    <row r="607" spans="1:16">
      <c r="A607" s="2" t="s">
        <v>638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>
        <v>61.3</v>
      </c>
    </row>
    <row r="608" spans="1:16">
      <c r="A608" s="2" t="s">
        <v>639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>
        <v>62.7</v>
      </c>
    </row>
    <row r="609" spans="1:16">
      <c r="A609" s="2" t="s">
        <v>640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>
        <v>43.1</v>
      </c>
    </row>
    <row r="610" spans="1:16">
      <c r="A610" s="2" t="s">
        <v>641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>
        <v>59.9</v>
      </c>
    </row>
    <row r="611" spans="1:16">
      <c r="A611" s="2" t="s">
        <v>642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>
        <v>55.7</v>
      </c>
    </row>
    <row r="612" spans="1:16">
      <c r="A612" s="2" t="s">
        <v>643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>
        <v>37.1</v>
      </c>
    </row>
    <row r="613" spans="1:16">
      <c r="A613" s="2" t="s">
        <v>644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>
        <v>46.7</v>
      </c>
    </row>
    <row r="614" spans="1:16">
      <c r="A614" s="2" t="s">
        <v>645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>
        <v>54.1</v>
      </c>
    </row>
    <row r="615" spans="1:16">
      <c r="A615" s="2" t="s">
        <v>646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>
        <v>56.1</v>
      </c>
    </row>
    <row r="616" spans="1:16">
      <c r="A616" s="2" t="s">
        <v>647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>
        <v>23.6</v>
      </c>
    </row>
    <row r="617" spans="1:16">
      <c r="A617" s="2" t="s">
        <v>648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>
        <v>54.7</v>
      </c>
    </row>
    <row r="618" spans="1:16">
      <c r="A618" s="2" t="s">
        <v>649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>
        <v>50.4</v>
      </c>
    </row>
    <row r="619" spans="1:16">
      <c r="A619" s="2" t="s">
        <v>650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>
        <v>54.5</v>
      </c>
    </row>
    <row r="620" spans="1:16">
      <c r="A620" s="2" t="s">
        <v>651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>
        <v>58</v>
      </c>
    </row>
    <row r="621" spans="1:16">
      <c r="A621" s="2" t="s">
        <v>652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>
        <v>42.9</v>
      </c>
    </row>
    <row r="622" spans="1:16">
      <c r="A622" s="2" t="s">
        <v>653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>
        <v>51.1</v>
      </c>
    </row>
    <row r="623" spans="1:16">
      <c r="A623" s="2" t="s">
        <v>654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>
        <v>51.8</v>
      </c>
    </row>
    <row r="624" spans="1:16">
      <c r="A624" s="2" t="s">
        <v>655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>
        <v>67.7</v>
      </c>
    </row>
    <row r="625" spans="1:16">
      <c r="A625" s="2" t="s">
        <v>656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>
        <v>75.8</v>
      </c>
    </row>
    <row r="626" spans="1:16">
      <c r="A626" s="2" t="s">
        <v>657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>
        <v>72.8</v>
      </c>
    </row>
    <row r="627" spans="1:16">
      <c r="A627" s="2" t="s">
        <v>658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>
        <v>54.4</v>
      </c>
    </row>
    <row r="628" spans="1:16">
      <c r="A628" s="2" t="s">
        <v>659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>
        <v>51.8</v>
      </c>
    </row>
    <row r="629" spans="1:16">
      <c r="A629" s="2" t="s">
        <v>660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>
        <v>40.299999999999997</v>
      </c>
    </row>
    <row r="630" spans="1:16">
      <c r="A630" s="2" t="s">
        <v>661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>
        <v>61.7</v>
      </c>
    </row>
    <row r="631" spans="1:16">
      <c r="A631" s="2" t="s">
        <v>662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>
        <v>45</v>
      </c>
    </row>
    <row r="632" spans="1:16">
      <c r="A632" s="2" t="s">
        <v>663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>
        <v>60</v>
      </c>
    </row>
    <row r="633" spans="1:16">
      <c r="A633" s="2" t="s">
        <v>664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>
        <v>59.9</v>
      </c>
    </row>
    <row r="634" spans="1:16">
      <c r="A634" s="2" t="s">
        <v>665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>
        <v>55.5</v>
      </c>
    </row>
    <row r="635" spans="1:16">
      <c r="A635" s="2" t="s">
        <v>666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>
        <v>51.8</v>
      </c>
    </row>
    <row r="636" spans="1:16">
      <c r="A636" s="2" t="s">
        <v>667</v>
      </c>
      <c r="B636" s="3">
        <v>45803</v>
      </c>
      <c r="C636" s="2" t="s">
        <v>17</v>
      </c>
      <c r="D636" s="2" t="s">
        <v>28</v>
      </c>
      <c r="E636" s="2" t="s">
        <v>24</v>
      </c>
      <c r="F636" s="2" t="s">
        <v>156</v>
      </c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>
        <v>56</v>
      </c>
    </row>
    <row r="637" spans="1:16">
      <c r="A637" s="2" t="s">
        <v>668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>
        <v>52.5</v>
      </c>
    </row>
    <row r="638" spans="1:16">
      <c r="A638" s="2" t="s">
        <v>669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>
        <v>42.5</v>
      </c>
    </row>
    <row r="639" spans="1:16">
      <c r="A639" s="2" t="s">
        <v>670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>
        <v>65.3</v>
      </c>
    </row>
    <row r="640" spans="1:16">
      <c r="A640" s="2" t="s">
        <v>671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>
        <v>37.6</v>
      </c>
    </row>
    <row r="641" spans="1:16">
      <c r="A641" s="2" t="s">
        <v>672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>
        <v>57.8</v>
      </c>
    </row>
    <row r="642" spans="1:16">
      <c r="A642" s="2" t="s">
        <v>673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>
        <v>52.7</v>
      </c>
    </row>
    <row r="643" spans="1:16">
      <c r="A643" s="2" t="s">
        <v>674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>
        <v>51.7</v>
      </c>
    </row>
    <row r="644" spans="1:16">
      <c r="A644" s="2" t="s">
        <v>675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>
        <v>57</v>
      </c>
    </row>
    <row r="645" spans="1:16">
      <c r="A645" s="2" t="s">
        <v>676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>
        <v>39.5</v>
      </c>
    </row>
    <row r="646" spans="1:16">
      <c r="A646" s="2" t="s">
        <v>677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>
        <v>76.5</v>
      </c>
    </row>
    <row r="647" spans="1:16">
      <c r="A647" s="2" t="s">
        <v>678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>
        <v>32.4</v>
      </c>
    </row>
    <row r="648" spans="1:16">
      <c r="A648" s="2" t="s">
        <v>679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>
        <v>58.6</v>
      </c>
    </row>
    <row r="649" spans="1:16">
      <c r="A649" s="2" t="s">
        <v>680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>
        <v>78.599999999999994</v>
      </c>
    </row>
    <row r="650" spans="1:16">
      <c r="A650" s="2" t="s">
        <v>681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>
        <v>54.5</v>
      </c>
    </row>
    <row r="651" spans="1:16">
      <c r="A651" s="2" t="s">
        <v>682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>
        <v>57.6</v>
      </c>
    </row>
    <row r="652" spans="1:16">
      <c r="A652" s="2" t="s">
        <v>683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>
        <v>52.8</v>
      </c>
    </row>
    <row r="653" spans="1:16">
      <c r="A653" s="2" t="s">
        <v>684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>
        <v>52.9</v>
      </c>
    </row>
    <row r="654" spans="1:16">
      <c r="A654" s="2" t="s">
        <v>685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>
        <v>55.9</v>
      </c>
    </row>
    <row r="655" spans="1:16">
      <c r="A655" s="2" t="s">
        <v>686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>
        <v>74.2</v>
      </c>
    </row>
    <row r="656" spans="1:16">
      <c r="A656" s="2" t="s">
        <v>687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>
        <v>46.3</v>
      </c>
    </row>
    <row r="657" spans="1:16">
      <c r="A657" s="2" t="s">
        <v>688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>
        <v>62</v>
      </c>
    </row>
    <row r="658" spans="1:16">
      <c r="A658" s="2" t="s">
        <v>689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>
        <v>55.6</v>
      </c>
    </row>
    <row r="659" spans="1:16">
      <c r="A659" s="2" t="s">
        <v>690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>
        <v>62.8</v>
      </c>
    </row>
    <row r="660" spans="1:16">
      <c r="A660" s="2" t="s">
        <v>691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>
        <v>73.099999999999994</v>
      </c>
    </row>
    <row r="661" spans="1:16">
      <c r="A661" s="2" t="s">
        <v>692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>
        <v>57.2</v>
      </c>
    </row>
    <row r="662" spans="1:16">
      <c r="A662" s="2" t="s">
        <v>693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>
        <v>67.900000000000006</v>
      </c>
    </row>
    <row r="663" spans="1:16">
      <c r="A663" s="2" t="s">
        <v>694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>
        <v>50.1</v>
      </c>
    </row>
    <row r="664" spans="1:16">
      <c r="A664" s="2" t="s">
        <v>695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>
        <v>67.8</v>
      </c>
    </row>
    <row r="665" spans="1:16">
      <c r="A665" s="2" t="s">
        <v>696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>
        <v>60.8</v>
      </c>
    </row>
    <row r="666" spans="1:16">
      <c r="A666" s="2" t="s">
        <v>697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>
        <v>33.700000000000003</v>
      </c>
    </row>
    <row r="667" spans="1:16">
      <c r="A667" s="2" t="s">
        <v>698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>
        <v>45.2</v>
      </c>
    </row>
    <row r="668" spans="1:16">
      <c r="A668" s="2" t="s">
        <v>699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>
        <v>48.2</v>
      </c>
    </row>
    <row r="669" spans="1:16">
      <c r="A669" s="2" t="s">
        <v>700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>
        <v>44.8</v>
      </c>
    </row>
    <row r="670" spans="1:16">
      <c r="A670" s="2" t="s">
        <v>701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>
        <v>52.1</v>
      </c>
    </row>
    <row r="671" spans="1:16">
      <c r="A671" s="2" t="s">
        <v>702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>
        <v>30.7</v>
      </c>
    </row>
    <row r="672" spans="1:16">
      <c r="A672" s="2" t="s">
        <v>703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>
        <v>58.4</v>
      </c>
    </row>
    <row r="673" spans="1:16">
      <c r="A673" s="2" t="s">
        <v>704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>
        <v>52.6</v>
      </c>
    </row>
    <row r="674" spans="1:16">
      <c r="A674" s="2" t="s">
        <v>705</v>
      </c>
      <c r="B674" s="3">
        <v>45667</v>
      </c>
      <c r="C674" s="2" t="s">
        <v>17</v>
      </c>
      <c r="D674" s="2" t="s">
        <v>23</v>
      </c>
      <c r="E674" s="2" t="s">
        <v>156</v>
      </c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>
        <v>19.100000000000001</v>
      </c>
    </row>
    <row r="675" spans="1:16">
      <c r="A675" s="2" t="s">
        <v>706</v>
      </c>
      <c r="B675" s="3">
        <v>45737</v>
      </c>
      <c r="C675" s="2" t="s">
        <v>17</v>
      </c>
      <c r="D675" s="2" t="s">
        <v>32</v>
      </c>
      <c r="E675" s="2" t="s">
        <v>156</v>
      </c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>
        <v>36.799999999999997</v>
      </c>
    </row>
    <row r="676" spans="1:16">
      <c r="A676" s="2" t="s">
        <v>707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>
        <v>68.5</v>
      </c>
    </row>
    <row r="677" spans="1:16">
      <c r="A677" s="2" t="s">
        <v>708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>
        <v>40.1</v>
      </c>
    </row>
    <row r="678" spans="1:16">
      <c r="A678" s="2" t="s">
        <v>709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>
        <v>47.5</v>
      </c>
    </row>
    <row r="679" spans="1:16">
      <c r="A679" s="2" t="s">
        <v>710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>
        <v>77.099999999999994</v>
      </c>
    </row>
    <row r="680" spans="1:16">
      <c r="A680" s="2" t="s">
        <v>711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>
        <v>75.900000000000006</v>
      </c>
    </row>
    <row r="681" spans="1:16">
      <c r="A681" s="2" t="s">
        <v>712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>
        <v>52</v>
      </c>
    </row>
    <row r="682" spans="1:16">
      <c r="A682" s="2" t="s">
        <v>713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>
        <v>64.900000000000006</v>
      </c>
    </row>
    <row r="683" spans="1:16">
      <c r="A683" s="2" t="s">
        <v>714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>
        <v>48.2</v>
      </c>
    </row>
    <row r="684" spans="1:16">
      <c r="A684" s="2" t="s">
        <v>715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>
        <v>42.1</v>
      </c>
    </row>
    <row r="685" spans="1:16">
      <c r="A685" s="2" t="s">
        <v>716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>
        <v>27.6</v>
      </c>
    </row>
    <row r="686" spans="1:16">
      <c r="A686" s="2" t="s">
        <v>717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>
        <v>68.5</v>
      </c>
    </row>
    <row r="687" spans="1:16">
      <c r="A687" s="2" t="s">
        <v>718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>
        <v>59.2</v>
      </c>
    </row>
    <row r="688" spans="1:16">
      <c r="A688" s="2" t="s">
        <v>719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>
        <v>63.3</v>
      </c>
    </row>
    <row r="689" spans="1:16">
      <c r="A689" s="2" t="s">
        <v>720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>
        <v>55</v>
      </c>
    </row>
    <row r="690" spans="1:16">
      <c r="A690" s="2" t="s">
        <v>721</v>
      </c>
      <c r="B690" s="3">
        <v>45804</v>
      </c>
      <c r="C690" s="2" t="s">
        <v>17</v>
      </c>
      <c r="D690" s="2" t="s">
        <v>18</v>
      </c>
      <c r="E690" s="2" t="s">
        <v>19</v>
      </c>
      <c r="F690" s="2" t="s">
        <v>156</v>
      </c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>
        <v>64.8</v>
      </c>
    </row>
    <row r="691" spans="1:16">
      <c r="A691" s="2" t="s">
        <v>722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>
        <v>41.8</v>
      </c>
    </row>
    <row r="692" spans="1:16">
      <c r="A692" s="2" t="s">
        <v>723</v>
      </c>
      <c r="B692" s="3">
        <v>45761</v>
      </c>
      <c r="C692" s="2" t="s">
        <v>724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>
        <v>73.2</v>
      </c>
    </row>
    <row r="693" spans="1:16">
      <c r="A693" s="2" t="s">
        <v>725</v>
      </c>
      <c r="B693" s="3">
        <v>45786</v>
      </c>
      <c r="C693" s="2" t="s">
        <v>724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>
        <v>55.7</v>
      </c>
    </row>
    <row r="694" spans="1:16">
      <c r="A694" s="2" t="s">
        <v>726</v>
      </c>
      <c r="B694" s="3">
        <v>45737</v>
      </c>
      <c r="C694" s="2" t="s">
        <v>724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>
        <v>82.8</v>
      </c>
    </row>
    <row r="695" spans="1:16">
      <c r="A695" s="2" t="s">
        <v>727</v>
      </c>
      <c r="B695" s="3">
        <v>45743</v>
      </c>
      <c r="C695" s="2" t="s">
        <v>724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>
        <v>59.9</v>
      </c>
    </row>
    <row r="696" spans="1:16">
      <c r="A696" s="2" t="s">
        <v>728</v>
      </c>
      <c r="B696" s="3">
        <v>45678</v>
      </c>
      <c r="C696" s="2" t="s">
        <v>724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>
        <v>34.4</v>
      </c>
    </row>
    <row r="697" spans="1:16">
      <c r="A697" s="2" t="s">
        <v>729</v>
      </c>
      <c r="B697" s="3">
        <v>45735</v>
      </c>
      <c r="C697" s="2" t="s">
        <v>724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>
        <v>45.2</v>
      </c>
    </row>
    <row r="698" spans="1:16">
      <c r="A698" s="2" t="s">
        <v>730</v>
      </c>
      <c r="B698" s="3">
        <v>45804</v>
      </c>
      <c r="C698" s="2" t="s">
        <v>724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>
        <v>71.599999999999994</v>
      </c>
    </row>
    <row r="699" spans="1:16">
      <c r="A699" s="2" t="s">
        <v>731</v>
      </c>
      <c r="B699" s="3">
        <v>45658</v>
      </c>
      <c r="C699" s="2" t="s">
        <v>724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>
        <v>69.099999999999994</v>
      </c>
    </row>
    <row r="700" spans="1:16">
      <c r="A700" s="2" t="s">
        <v>732</v>
      </c>
      <c r="B700" s="3">
        <v>45745</v>
      </c>
      <c r="C700" s="2" t="s">
        <v>724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>
        <v>37.700000000000003</v>
      </c>
    </row>
    <row r="701" spans="1:16">
      <c r="A701" s="2" t="s">
        <v>733</v>
      </c>
      <c r="B701" s="3">
        <v>45733</v>
      </c>
      <c r="C701" s="2" t="s">
        <v>724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>
        <v>60.8</v>
      </c>
    </row>
    <row r="702" spans="1:16">
      <c r="A702" s="2" t="s">
        <v>734</v>
      </c>
      <c r="B702" s="3">
        <v>45782</v>
      </c>
      <c r="C702" s="2" t="s">
        <v>724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>
        <v>80.7</v>
      </c>
    </row>
    <row r="703" spans="1:16">
      <c r="A703" s="2" t="s">
        <v>735</v>
      </c>
      <c r="B703" s="3">
        <v>45781</v>
      </c>
      <c r="C703" s="2" t="s">
        <v>724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>
        <v>69.2</v>
      </c>
    </row>
    <row r="704" spans="1:16">
      <c r="A704" s="2" t="s">
        <v>736</v>
      </c>
      <c r="B704" s="3">
        <v>45741</v>
      </c>
      <c r="C704" s="2" t="s">
        <v>724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>
        <v>55</v>
      </c>
    </row>
    <row r="705" spans="1:16">
      <c r="A705" s="2" t="s">
        <v>737</v>
      </c>
      <c r="B705" s="3">
        <v>45764</v>
      </c>
      <c r="C705" s="2" t="s">
        <v>724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>
        <v>73.599999999999994</v>
      </c>
    </row>
    <row r="706" spans="1:16">
      <c r="A706" s="2" t="s">
        <v>738</v>
      </c>
      <c r="B706" s="3">
        <v>45800</v>
      </c>
      <c r="C706" s="2" t="s">
        <v>724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>
        <v>47.3</v>
      </c>
    </row>
    <row r="707" spans="1:16">
      <c r="A707" s="2" t="s">
        <v>739</v>
      </c>
      <c r="B707" s="3">
        <v>45670</v>
      </c>
      <c r="C707" s="2" t="s">
        <v>724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>
        <v>43.6</v>
      </c>
    </row>
    <row r="708" spans="1:16">
      <c r="A708" s="2" t="s">
        <v>740</v>
      </c>
      <c r="B708" s="3">
        <v>45686</v>
      </c>
      <c r="C708" s="2" t="s">
        <v>724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>
        <v>59.9</v>
      </c>
    </row>
    <row r="709" spans="1:16">
      <c r="A709" s="2" t="s">
        <v>741</v>
      </c>
      <c r="B709" s="3">
        <v>45788</v>
      </c>
      <c r="C709" s="2" t="s">
        <v>724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>
        <v>55.2</v>
      </c>
    </row>
    <row r="710" spans="1:16">
      <c r="A710" s="2" t="s">
        <v>742</v>
      </c>
      <c r="B710" s="3">
        <v>45769</v>
      </c>
      <c r="C710" s="2" t="s">
        <v>724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>
        <v>49.4</v>
      </c>
    </row>
    <row r="711" spans="1:16">
      <c r="A711" s="2" t="s">
        <v>743</v>
      </c>
      <c r="B711" s="3">
        <v>45719</v>
      </c>
      <c r="C711" s="2" t="s">
        <v>724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>
        <v>60.1</v>
      </c>
    </row>
    <row r="712" spans="1:16">
      <c r="A712" s="2" t="s">
        <v>744</v>
      </c>
      <c r="B712" s="3">
        <v>45734</v>
      </c>
      <c r="C712" s="2" t="s">
        <v>724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>
        <v>55.9</v>
      </c>
    </row>
    <row r="713" spans="1:16">
      <c r="A713" s="2" t="s">
        <v>745</v>
      </c>
      <c r="B713" s="3">
        <v>45752</v>
      </c>
      <c r="C713" s="2" t="s">
        <v>724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>
        <v>51.5</v>
      </c>
    </row>
    <row r="714" spans="1:16">
      <c r="A714" s="2" t="s">
        <v>746</v>
      </c>
      <c r="B714" s="3">
        <v>45763</v>
      </c>
      <c r="C714" s="2" t="s">
        <v>724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>
        <v>57.9</v>
      </c>
    </row>
    <row r="715" spans="1:16">
      <c r="A715" s="2" t="s">
        <v>747</v>
      </c>
      <c r="B715" s="3">
        <v>45767</v>
      </c>
      <c r="C715" s="2" t="s">
        <v>724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>
        <v>59.2</v>
      </c>
    </row>
    <row r="716" spans="1:16">
      <c r="A716" s="2" t="s">
        <v>748</v>
      </c>
      <c r="B716" s="3">
        <v>45703</v>
      </c>
      <c r="C716" s="2" t="s">
        <v>724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>
        <v>64.2</v>
      </c>
    </row>
    <row r="717" spans="1:16">
      <c r="A717" s="2" t="s">
        <v>749</v>
      </c>
      <c r="B717" s="3">
        <v>45678</v>
      </c>
      <c r="C717" s="2" t="s">
        <v>724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>
        <v>68.8</v>
      </c>
    </row>
    <row r="718" spans="1:16">
      <c r="A718" s="2" t="s">
        <v>750</v>
      </c>
      <c r="B718" s="3">
        <v>45800</v>
      </c>
      <c r="C718" s="2" t="s">
        <v>724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>
        <v>77.900000000000006</v>
      </c>
    </row>
    <row r="719" spans="1:16">
      <c r="A719" s="2" t="s">
        <v>751</v>
      </c>
      <c r="B719" s="3">
        <v>45679</v>
      </c>
      <c r="C719" s="2" t="s">
        <v>724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>
        <v>92.1</v>
      </c>
    </row>
    <row r="720" spans="1:16">
      <c r="A720" s="2" t="s">
        <v>752</v>
      </c>
      <c r="B720" s="3">
        <v>45771</v>
      </c>
      <c r="C720" s="2" t="s">
        <v>724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>
        <v>63.6</v>
      </c>
    </row>
    <row r="721" spans="1:16">
      <c r="A721" s="2" t="s">
        <v>753</v>
      </c>
      <c r="B721" s="3">
        <v>45674</v>
      </c>
      <c r="C721" s="2" t="s">
        <v>724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>
        <v>61.6</v>
      </c>
    </row>
    <row r="722" spans="1:16">
      <c r="A722" s="2" t="s">
        <v>754</v>
      </c>
      <c r="B722" s="3">
        <v>45679</v>
      </c>
      <c r="C722" s="2" t="s">
        <v>724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>
        <v>82.3</v>
      </c>
    </row>
    <row r="723" spans="1:16">
      <c r="A723" s="2" t="s">
        <v>755</v>
      </c>
      <c r="B723" s="3">
        <v>45781</v>
      </c>
      <c r="C723" s="2" t="s">
        <v>724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>
        <v>79.3</v>
      </c>
    </row>
    <row r="724" spans="1:16">
      <c r="A724" s="2" t="s">
        <v>756</v>
      </c>
      <c r="B724" s="3">
        <v>45729</v>
      </c>
      <c r="C724" s="2" t="s">
        <v>724</v>
      </c>
      <c r="D724" s="2" t="s">
        <v>32</v>
      </c>
      <c r="E724" s="2" t="s">
        <v>24</v>
      </c>
      <c r="F724" s="2" t="s">
        <v>156</v>
      </c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>
        <v>57.7</v>
      </c>
    </row>
    <row r="725" spans="1:16">
      <c r="A725" s="2" t="s">
        <v>757</v>
      </c>
      <c r="B725" s="3">
        <v>45659</v>
      </c>
      <c r="C725" s="2" t="s">
        <v>724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>
        <v>63.1</v>
      </c>
    </row>
    <row r="726" spans="1:16">
      <c r="A726" s="2" t="s">
        <v>758</v>
      </c>
      <c r="B726" s="3">
        <v>45670</v>
      </c>
      <c r="C726" s="2" t="s">
        <v>724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>
        <v>72.3</v>
      </c>
    </row>
    <row r="727" spans="1:16">
      <c r="A727" s="2" t="s">
        <v>759</v>
      </c>
      <c r="B727" s="3">
        <v>45697</v>
      </c>
      <c r="C727" s="2" t="s">
        <v>724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>
        <v>78</v>
      </c>
    </row>
    <row r="728" spans="1:16">
      <c r="A728" s="2" t="s">
        <v>760</v>
      </c>
      <c r="B728" s="3">
        <v>45756</v>
      </c>
      <c r="C728" s="2" t="s">
        <v>724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>
        <v>59.1</v>
      </c>
    </row>
    <row r="729" spans="1:16">
      <c r="A729" s="2" t="s">
        <v>761</v>
      </c>
      <c r="B729" s="3">
        <v>45659</v>
      </c>
      <c r="C729" s="2" t="s">
        <v>724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>
        <v>47.1</v>
      </c>
    </row>
    <row r="730" spans="1:16">
      <c r="A730" s="2" t="s">
        <v>762</v>
      </c>
      <c r="B730" s="3">
        <v>45692</v>
      </c>
      <c r="C730" s="2" t="s">
        <v>724</v>
      </c>
      <c r="D730" s="2" t="s">
        <v>32</v>
      </c>
      <c r="E730" s="2" t="s">
        <v>24</v>
      </c>
      <c r="F730" s="2" t="s">
        <v>156</v>
      </c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>
        <v>64.900000000000006</v>
      </c>
    </row>
    <row r="731" spans="1:16">
      <c r="A731" s="2" t="s">
        <v>763</v>
      </c>
      <c r="B731" s="3">
        <v>45707</v>
      </c>
      <c r="C731" s="2" t="s">
        <v>724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>
        <v>67.3</v>
      </c>
    </row>
    <row r="732" spans="1:16">
      <c r="A732" s="2" t="s">
        <v>764</v>
      </c>
      <c r="B732" s="3">
        <v>45748</v>
      </c>
      <c r="C732" s="2" t="s">
        <v>724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>
        <v>52.9</v>
      </c>
    </row>
    <row r="733" spans="1:16">
      <c r="A733" s="2" t="s">
        <v>765</v>
      </c>
      <c r="B733" s="3">
        <v>45686</v>
      </c>
      <c r="C733" s="2" t="s">
        <v>724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>
        <v>69.900000000000006</v>
      </c>
    </row>
    <row r="734" spans="1:16">
      <c r="A734" s="2" t="s">
        <v>766</v>
      </c>
      <c r="B734" s="3">
        <v>45795</v>
      </c>
      <c r="C734" s="2" t="s">
        <v>724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>
        <v>78.900000000000006</v>
      </c>
    </row>
    <row r="735" spans="1:16">
      <c r="A735" s="2" t="s">
        <v>767</v>
      </c>
      <c r="B735" s="3">
        <v>45762</v>
      </c>
      <c r="C735" s="2" t="s">
        <v>724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>
        <v>83.3</v>
      </c>
    </row>
    <row r="736" spans="1:16">
      <c r="A736" s="2" t="s">
        <v>768</v>
      </c>
      <c r="B736" s="3">
        <v>45744</v>
      </c>
      <c r="C736" s="2" t="s">
        <v>724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>
        <v>24.5</v>
      </c>
    </row>
    <row r="737" spans="1:16">
      <c r="A737" s="2" t="s">
        <v>769</v>
      </c>
      <c r="B737" s="3">
        <v>45748</v>
      </c>
      <c r="C737" s="2" t="s">
        <v>724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>
        <v>56.9</v>
      </c>
    </row>
    <row r="738" spans="1:16">
      <c r="A738" s="2" t="s">
        <v>770</v>
      </c>
      <c r="B738" s="3">
        <v>45699</v>
      </c>
      <c r="C738" s="2" t="s">
        <v>724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>
        <v>69.900000000000006</v>
      </c>
    </row>
    <row r="739" spans="1:16">
      <c r="A739" s="2" t="s">
        <v>771</v>
      </c>
      <c r="B739" s="3">
        <v>45720</v>
      </c>
      <c r="C739" s="2" t="s">
        <v>724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>
        <v>81.5</v>
      </c>
    </row>
    <row r="740" spans="1:16">
      <c r="A740" s="2" t="s">
        <v>772</v>
      </c>
      <c r="B740" s="3">
        <v>45678</v>
      </c>
      <c r="C740" s="2" t="s">
        <v>724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>
        <v>37.9</v>
      </c>
    </row>
    <row r="741" spans="1:16">
      <c r="A741" s="2" t="s">
        <v>773</v>
      </c>
      <c r="B741" s="3">
        <v>45702</v>
      </c>
      <c r="C741" s="2" t="s">
        <v>724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>
        <v>61.7</v>
      </c>
    </row>
    <row r="742" spans="1:16">
      <c r="A742" s="2" t="s">
        <v>774</v>
      </c>
      <c r="B742" s="3">
        <v>45746</v>
      </c>
      <c r="C742" s="2" t="s">
        <v>724</v>
      </c>
      <c r="D742" s="2" t="s">
        <v>18</v>
      </c>
      <c r="E742" s="2" t="s">
        <v>19</v>
      </c>
      <c r="F742" s="2" t="s">
        <v>156</v>
      </c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>
        <v>53.2</v>
      </c>
    </row>
    <row r="743" spans="1:16">
      <c r="A743" s="2" t="s">
        <v>775</v>
      </c>
      <c r="B743" s="3">
        <v>45665</v>
      </c>
      <c r="C743" s="2" t="s">
        <v>724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>
        <v>61.9</v>
      </c>
    </row>
    <row r="744" spans="1:16">
      <c r="A744" s="2" t="s">
        <v>776</v>
      </c>
      <c r="B744" s="3">
        <v>45695</v>
      </c>
      <c r="C744" s="2" t="s">
        <v>724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>
        <v>68.900000000000006</v>
      </c>
    </row>
    <row r="745" spans="1:16">
      <c r="A745" s="2" t="s">
        <v>777</v>
      </c>
      <c r="B745" s="3">
        <v>45689</v>
      </c>
      <c r="C745" s="2" t="s">
        <v>724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>
        <v>66.3</v>
      </c>
    </row>
    <row r="746" spans="1:16">
      <c r="A746" s="2" t="s">
        <v>778</v>
      </c>
      <c r="B746" s="3">
        <v>45661</v>
      </c>
      <c r="C746" s="2" t="s">
        <v>724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>
        <v>54.6</v>
      </c>
    </row>
    <row r="747" spans="1:16">
      <c r="A747" s="2" t="s">
        <v>779</v>
      </c>
      <c r="B747" s="3">
        <v>45793</v>
      </c>
      <c r="C747" s="2" t="s">
        <v>724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>
        <v>53.8</v>
      </c>
    </row>
    <row r="748" spans="1:16">
      <c r="A748" s="2" t="s">
        <v>780</v>
      </c>
      <c r="B748" s="3">
        <v>45716</v>
      </c>
      <c r="C748" s="2" t="s">
        <v>724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>
        <v>59.5</v>
      </c>
    </row>
    <row r="749" spans="1:16">
      <c r="A749" s="2" t="s">
        <v>781</v>
      </c>
      <c r="B749" s="3">
        <v>45759</v>
      </c>
      <c r="C749" s="2" t="s">
        <v>724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>
        <v>52.6</v>
      </c>
    </row>
    <row r="750" spans="1:16">
      <c r="A750" s="2" t="s">
        <v>782</v>
      </c>
      <c r="B750" s="3">
        <v>45739</v>
      </c>
      <c r="C750" s="2" t="s">
        <v>724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>
        <v>49</v>
      </c>
    </row>
    <row r="751" spans="1:16">
      <c r="A751" s="2" t="s">
        <v>783</v>
      </c>
      <c r="B751" s="3">
        <v>45806</v>
      </c>
      <c r="C751" s="2" t="s">
        <v>724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>
        <v>59.3</v>
      </c>
    </row>
    <row r="752" spans="1:16">
      <c r="A752" s="2" t="s">
        <v>784</v>
      </c>
      <c r="B752" s="3">
        <v>45798</v>
      </c>
      <c r="C752" s="2" t="s">
        <v>724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>
        <v>67.2</v>
      </c>
    </row>
    <row r="753" spans="1:16">
      <c r="A753" s="2" t="s">
        <v>785</v>
      </c>
      <c r="B753" s="3">
        <v>45662</v>
      </c>
      <c r="C753" s="2" t="s">
        <v>724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>
        <v>73.5</v>
      </c>
    </row>
    <row r="754" spans="1:16">
      <c r="A754" s="2" t="s">
        <v>786</v>
      </c>
      <c r="B754" s="3">
        <v>45735</v>
      </c>
      <c r="C754" s="2" t="s">
        <v>724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>
        <v>61.2</v>
      </c>
    </row>
    <row r="755" spans="1:16">
      <c r="A755" s="2" t="s">
        <v>787</v>
      </c>
      <c r="B755" s="3">
        <v>45771</v>
      </c>
      <c r="C755" s="2" t="s">
        <v>724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>
        <v>56.4</v>
      </c>
    </row>
    <row r="756" spans="1:16">
      <c r="A756" s="2" t="s">
        <v>788</v>
      </c>
      <c r="B756" s="3">
        <v>45726</v>
      </c>
      <c r="C756" s="2" t="s">
        <v>724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>
        <v>72.599999999999994</v>
      </c>
    </row>
    <row r="757" spans="1:16">
      <c r="A757" s="2" t="s">
        <v>789</v>
      </c>
      <c r="B757" s="3">
        <v>45710</v>
      </c>
      <c r="C757" s="2" t="s">
        <v>724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>
        <v>61.7</v>
      </c>
    </row>
    <row r="758" spans="1:16">
      <c r="A758" s="2" t="s">
        <v>790</v>
      </c>
      <c r="B758" s="3">
        <v>45794</v>
      </c>
      <c r="C758" s="2" t="s">
        <v>724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>
        <v>66.900000000000006</v>
      </c>
    </row>
    <row r="759" spans="1:16">
      <c r="A759" s="2" t="s">
        <v>791</v>
      </c>
      <c r="B759" s="3">
        <v>45786</v>
      </c>
      <c r="C759" s="2" t="s">
        <v>724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>
        <v>64.900000000000006</v>
      </c>
    </row>
    <row r="760" spans="1:16">
      <c r="A760" s="2" t="s">
        <v>792</v>
      </c>
      <c r="B760" s="3">
        <v>45773</v>
      </c>
      <c r="C760" s="2" t="s">
        <v>724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>
        <v>57.5</v>
      </c>
    </row>
    <row r="761" spans="1:16">
      <c r="A761" s="2" t="s">
        <v>793</v>
      </c>
      <c r="B761" s="3">
        <v>45731</v>
      </c>
      <c r="C761" s="2" t="s">
        <v>724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>
        <v>76.3</v>
      </c>
    </row>
    <row r="762" spans="1:16">
      <c r="A762" s="2" t="s">
        <v>794</v>
      </c>
      <c r="B762" s="3">
        <v>45750</v>
      </c>
      <c r="C762" s="2" t="s">
        <v>724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>
        <v>47.5</v>
      </c>
    </row>
    <row r="763" spans="1:16">
      <c r="A763" s="2" t="s">
        <v>795</v>
      </c>
      <c r="B763" s="3">
        <v>45742</v>
      </c>
      <c r="C763" s="2" t="s">
        <v>724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>
        <v>59.9</v>
      </c>
    </row>
    <row r="764" spans="1:16">
      <c r="A764" s="2" t="s">
        <v>796</v>
      </c>
      <c r="B764" s="3">
        <v>45693</v>
      </c>
      <c r="C764" s="2" t="s">
        <v>724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>
        <v>71.599999999999994</v>
      </c>
    </row>
    <row r="765" spans="1:16">
      <c r="A765" s="2" t="s">
        <v>797</v>
      </c>
      <c r="B765" s="3">
        <v>45785</v>
      </c>
      <c r="C765" s="2" t="s">
        <v>724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>
        <v>55.8</v>
      </c>
    </row>
    <row r="766" spans="1:16">
      <c r="A766" s="2" t="s">
        <v>798</v>
      </c>
      <c r="B766" s="3">
        <v>45741</v>
      </c>
      <c r="C766" s="2" t="s">
        <v>724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>
        <v>60.1</v>
      </c>
    </row>
    <row r="767" spans="1:16">
      <c r="A767" s="2" t="s">
        <v>799</v>
      </c>
      <c r="B767" s="3">
        <v>45671</v>
      </c>
      <c r="C767" s="2" t="s">
        <v>724</v>
      </c>
      <c r="D767" s="2" t="s">
        <v>23</v>
      </c>
      <c r="E767" s="2" t="s">
        <v>156</v>
      </c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>
        <v>59.3</v>
      </c>
    </row>
    <row r="768" spans="1:16">
      <c r="A768" s="2" t="s">
        <v>800</v>
      </c>
      <c r="B768" s="3">
        <v>45742</v>
      </c>
      <c r="C768" s="2" t="s">
        <v>724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>
        <v>49.3</v>
      </c>
    </row>
    <row r="769" spans="1:16">
      <c r="A769" s="2" t="s">
        <v>801</v>
      </c>
      <c r="B769" s="3">
        <v>45673</v>
      </c>
      <c r="C769" s="2" t="s">
        <v>724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>
        <v>75</v>
      </c>
    </row>
    <row r="770" spans="1:16">
      <c r="A770" s="2" t="s">
        <v>802</v>
      </c>
      <c r="B770" s="3">
        <v>45661</v>
      </c>
      <c r="C770" s="2" t="s">
        <v>724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>
        <v>70.2</v>
      </c>
    </row>
    <row r="771" spans="1:16">
      <c r="A771" s="2" t="s">
        <v>803</v>
      </c>
      <c r="B771" s="3">
        <v>45697</v>
      </c>
      <c r="C771" s="2" t="s">
        <v>724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>
        <v>56.6</v>
      </c>
    </row>
    <row r="772" spans="1:16">
      <c r="A772" s="2" t="s">
        <v>804</v>
      </c>
      <c r="B772" s="3">
        <v>45721</v>
      </c>
      <c r="C772" s="2" t="s">
        <v>724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>
        <v>65.400000000000006</v>
      </c>
    </row>
    <row r="773" spans="1:16">
      <c r="A773" s="2" t="s">
        <v>805</v>
      </c>
      <c r="B773" s="3">
        <v>45726</v>
      </c>
      <c r="C773" s="2" t="s">
        <v>724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>
        <v>47.6</v>
      </c>
    </row>
    <row r="774" spans="1:16">
      <c r="A774" s="2" t="s">
        <v>806</v>
      </c>
      <c r="B774" s="3">
        <v>45715</v>
      </c>
      <c r="C774" s="2" t="s">
        <v>724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>
        <v>56.7</v>
      </c>
    </row>
    <row r="775" spans="1:16">
      <c r="A775" s="2" t="s">
        <v>807</v>
      </c>
      <c r="B775" s="3">
        <v>45726</v>
      </c>
      <c r="C775" s="2" t="s">
        <v>724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>
        <v>71.400000000000006</v>
      </c>
    </row>
    <row r="776" spans="1:16">
      <c r="A776" s="2" t="s">
        <v>808</v>
      </c>
      <c r="B776" s="3">
        <v>45770</v>
      </c>
      <c r="C776" s="2" t="s">
        <v>724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>
        <v>60.5</v>
      </c>
    </row>
    <row r="777" spans="1:16">
      <c r="A777" s="2" t="s">
        <v>809</v>
      </c>
      <c r="B777" s="3">
        <v>45759</v>
      </c>
      <c r="C777" s="2" t="s">
        <v>724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>
        <v>46.7</v>
      </c>
    </row>
    <row r="778" spans="1:16">
      <c r="A778" s="2" t="s">
        <v>810</v>
      </c>
      <c r="B778" s="3">
        <v>45683</v>
      </c>
      <c r="C778" s="2" t="s">
        <v>724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>
        <v>61</v>
      </c>
    </row>
    <row r="779" spans="1:16">
      <c r="A779" s="2" t="s">
        <v>811</v>
      </c>
      <c r="B779" s="3">
        <v>45801</v>
      </c>
      <c r="C779" s="2" t="s">
        <v>724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>
        <v>60.9</v>
      </c>
    </row>
    <row r="780" spans="1:16">
      <c r="A780" s="2" t="s">
        <v>812</v>
      </c>
      <c r="B780" s="3">
        <v>45665</v>
      </c>
      <c r="C780" s="2" t="s">
        <v>724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>
        <v>67.099999999999994</v>
      </c>
    </row>
    <row r="781" spans="1:16">
      <c r="A781" s="2" t="s">
        <v>813</v>
      </c>
      <c r="B781" s="3">
        <v>45762</v>
      </c>
      <c r="C781" s="2" t="s">
        <v>724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>
        <v>59.6</v>
      </c>
    </row>
    <row r="782" spans="1:16">
      <c r="A782" s="2" t="s">
        <v>814</v>
      </c>
      <c r="B782" s="3">
        <v>45672</v>
      </c>
      <c r="C782" s="2" t="s">
        <v>724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>
        <v>83.8</v>
      </c>
    </row>
    <row r="783" spans="1:16">
      <c r="A783" s="2" t="s">
        <v>815</v>
      </c>
      <c r="B783" s="3">
        <v>45716</v>
      </c>
      <c r="C783" s="2" t="s">
        <v>724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>
        <v>70.8</v>
      </c>
    </row>
    <row r="784" spans="1:16">
      <c r="A784" s="2" t="s">
        <v>816</v>
      </c>
      <c r="B784" s="3">
        <v>45658</v>
      </c>
      <c r="C784" s="2" t="s">
        <v>724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>
        <v>65.900000000000006</v>
      </c>
    </row>
    <row r="785" spans="1:16">
      <c r="A785" s="2" t="s">
        <v>817</v>
      </c>
      <c r="B785" s="3">
        <v>45764</v>
      </c>
      <c r="C785" s="2" t="s">
        <v>724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>
        <v>58</v>
      </c>
    </row>
    <row r="786" spans="1:16">
      <c r="A786" s="2" t="s">
        <v>818</v>
      </c>
      <c r="B786" s="3">
        <v>45707</v>
      </c>
      <c r="C786" s="2" t="s">
        <v>724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>
        <v>80.3</v>
      </c>
    </row>
    <row r="787" spans="1:16">
      <c r="A787" s="2" t="s">
        <v>819</v>
      </c>
      <c r="B787" s="3">
        <v>45730</v>
      </c>
      <c r="C787" s="2" t="s">
        <v>724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>
        <v>55.7</v>
      </c>
    </row>
    <row r="788" spans="1:16">
      <c r="A788" s="2" t="s">
        <v>820</v>
      </c>
      <c r="B788" s="3">
        <v>45768</v>
      </c>
      <c r="C788" s="2" t="s">
        <v>724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>
        <v>84.9</v>
      </c>
    </row>
    <row r="789" spans="1:16">
      <c r="A789" s="2" t="s">
        <v>821</v>
      </c>
      <c r="B789" s="3">
        <v>45702</v>
      </c>
      <c r="C789" s="2" t="s">
        <v>724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>
        <v>63.3</v>
      </c>
    </row>
    <row r="790" spans="1:16">
      <c r="A790" s="2" t="s">
        <v>822</v>
      </c>
      <c r="B790" s="3">
        <v>45807</v>
      </c>
      <c r="C790" s="2" t="s">
        <v>724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>
        <v>53.1</v>
      </c>
    </row>
    <row r="791" spans="1:16">
      <c r="A791" s="2" t="s">
        <v>823</v>
      </c>
      <c r="B791" s="3">
        <v>45677</v>
      </c>
      <c r="C791" s="2" t="s">
        <v>724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>
        <v>66</v>
      </c>
    </row>
    <row r="792" spans="1:16">
      <c r="A792" s="2" t="s">
        <v>824</v>
      </c>
      <c r="B792" s="3">
        <v>45733</v>
      </c>
      <c r="C792" s="2" t="s">
        <v>724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>
        <v>54.7</v>
      </c>
    </row>
    <row r="793" spans="1:16">
      <c r="A793" s="2" t="s">
        <v>825</v>
      </c>
      <c r="B793" s="3">
        <v>45720</v>
      </c>
      <c r="C793" s="2" t="s">
        <v>724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>
        <v>41.2</v>
      </c>
    </row>
    <row r="794" spans="1:16">
      <c r="A794" s="2" t="s">
        <v>826</v>
      </c>
      <c r="B794" s="3">
        <v>45710</v>
      </c>
      <c r="C794" s="2" t="s">
        <v>724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>
        <v>66.7</v>
      </c>
    </row>
    <row r="795" spans="1:16">
      <c r="A795" s="2" t="s">
        <v>827</v>
      </c>
      <c r="B795" s="3">
        <v>45779</v>
      </c>
      <c r="C795" s="2" t="s">
        <v>724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>
        <v>39.4</v>
      </c>
    </row>
    <row r="796" spans="1:16">
      <c r="A796" s="2" t="s">
        <v>828</v>
      </c>
      <c r="B796" s="3">
        <v>45729</v>
      </c>
      <c r="C796" s="2" t="s">
        <v>724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>
        <v>67</v>
      </c>
    </row>
    <row r="797" spans="1:16">
      <c r="A797" s="2" t="s">
        <v>829</v>
      </c>
      <c r="B797" s="3">
        <v>45808</v>
      </c>
      <c r="C797" s="2" t="s">
        <v>724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>
        <v>50.4</v>
      </c>
    </row>
    <row r="798" spans="1:16">
      <c r="A798" s="2" t="s">
        <v>830</v>
      </c>
      <c r="B798" s="3">
        <v>45723</v>
      </c>
      <c r="C798" s="2" t="s">
        <v>724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>
        <v>53.8</v>
      </c>
    </row>
    <row r="799" spans="1:16">
      <c r="A799" s="2" t="s">
        <v>831</v>
      </c>
      <c r="B799" s="3">
        <v>45710</v>
      </c>
      <c r="C799" s="2" t="s">
        <v>724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>
        <v>82.7</v>
      </c>
    </row>
    <row r="800" spans="1:16">
      <c r="A800" s="2" t="s">
        <v>832</v>
      </c>
      <c r="B800" s="3">
        <v>45662</v>
      </c>
      <c r="C800" s="2" t="s">
        <v>724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>
        <v>63.9</v>
      </c>
    </row>
    <row r="801" spans="1:16">
      <c r="A801" s="2" t="s">
        <v>833</v>
      </c>
      <c r="B801" s="3">
        <v>45678</v>
      </c>
      <c r="C801" s="2" t="s">
        <v>724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>
        <v>61.9</v>
      </c>
    </row>
    <row r="802" spans="1:16">
      <c r="A802" s="2" t="s">
        <v>834</v>
      </c>
      <c r="B802" s="3">
        <v>45682</v>
      </c>
      <c r="C802" s="2" t="s">
        <v>724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>
        <v>75</v>
      </c>
    </row>
    <row r="803" spans="1:16">
      <c r="A803" s="2" t="s">
        <v>835</v>
      </c>
      <c r="B803" s="3">
        <v>45751</v>
      </c>
      <c r="C803" s="2" t="s">
        <v>724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>
        <v>43</v>
      </c>
    </row>
    <row r="804" spans="1:16">
      <c r="A804" s="2" t="s">
        <v>836</v>
      </c>
      <c r="B804" s="3">
        <v>45741</v>
      </c>
      <c r="C804" s="2" t="s">
        <v>724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>
        <v>54.3</v>
      </c>
    </row>
    <row r="805" spans="1:16">
      <c r="A805" s="2" t="s">
        <v>837</v>
      </c>
      <c r="B805" s="3">
        <v>45735</v>
      </c>
      <c r="C805" s="2" t="s">
        <v>724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>
        <v>44.3</v>
      </c>
    </row>
    <row r="806" spans="1:16">
      <c r="A806" s="2" t="s">
        <v>838</v>
      </c>
      <c r="B806" s="3">
        <v>45771</v>
      </c>
      <c r="C806" s="2" t="s">
        <v>724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>
        <v>76</v>
      </c>
    </row>
    <row r="807" spans="1:16">
      <c r="A807" s="2" t="s">
        <v>839</v>
      </c>
      <c r="B807" s="3">
        <v>45751</v>
      </c>
      <c r="C807" s="2" t="s">
        <v>724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>
        <v>65.3</v>
      </c>
    </row>
    <row r="808" spans="1:16">
      <c r="A808" s="2" t="s">
        <v>840</v>
      </c>
      <c r="B808" s="3">
        <v>45744</v>
      </c>
      <c r="C808" s="2" t="s">
        <v>724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>
        <v>71.2</v>
      </c>
    </row>
    <row r="809" spans="1:16">
      <c r="A809" s="2" t="s">
        <v>841</v>
      </c>
      <c r="B809" s="3">
        <v>45792</v>
      </c>
      <c r="C809" s="2" t="s">
        <v>724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>
        <v>77.900000000000006</v>
      </c>
    </row>
    <row r="810" spans="1:16">
      <c r="A810" s="2" t="s">
        <v>842</v>
      </c>
      <c r="B810" s="3">
        <v>45729</v>
      </c>
      <c r="C810" s="2" t="s">
        <v>724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>
        <v>48.6</v>
      </c>
    </row>
    <row r="811" spans="1:16">
      <c r="A811" s="2" t="s">
        <v>843</v>
      </c>
      <c r="B811" s="3">
        <v>45742</v>
      </c>
      <c r="C811" s="2" t="s">
        <v>724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>
        <v>61.9</v>
      </c>
    </row>
    <row r="812" spans="1:16">
      <c r="A812" s="2" t="s">
        <v>844</v>
      </c>
      <c r="B812" s="3">
        <v>45666</v>
      </c>
      <c r="C812" s="2" t="s">
        <v>724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>
        <v>58.7</v>
      </c>
    </row>
    <row r="813" spans="1:16">
      <c r="A813" s="2" t="s">
        <v>845</v>
      </c>
      <c r="B813" s="3">
        <v>45783</v>
      </c>
      <c r="C813" s="2" t="s">
        <v>724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>
        <v>69.599999999999994</v>
      </c>
    </row>
    <row r="814" spans="1:16">
      <c r="A814" s="2" t="s">
        <v>846</v>
      </c>
      <c r="B814" s="3">
        <v>45705</v>
      </c>
      <c r="C814" s="2" t="s">
        <v>724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>
        <v>51.5</v>
      </c>
    </row>
    <row r="815" spans="1:16">
      <c r="A815" s="2" t="s">
        <v>847</v>
      </c>
      <c r="B815" s="3">
        <v>45752</v>
      </c>
      <c r="C815" s="2" t="s">
        <v>724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>
        <v>46</v>
      </c>
    </row>
    <row r="816" spans="1:16">
      <c r="A816" s="2" t="s">
        <v>848</v>
      </c>
      <c r="B816" s="3">
        <v>45760</v>
      </c>
      <c r="C816" s="2" t="s">
        <v>724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>
        <v>81.7</v>
      </c>
    </row>
    <row r="817" spans="1:16">
      <c r="A817" s="2" t="s">
        <v>849</v>
      </c>
      <c r="B817" s="3">
        <v>45797</v>
      </c>
      <c r="C817" s="2" t="s">
        <v>724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>
        <v>48.3</v>
      </c>
    </row>
    <row r="818" spans="1:16">
      <c r="A818" s="2" t="s">
        <v>850</v>
      </c>
      <c r="B818" s="3">
        <v>45747</v>
      </c>
      <c r="C818" s="2" t="s">
        <v>724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>
        <v>85.6</v>
      </c>
    </row>
    <row r="819" spans="1:16">
      <c r="A819" s="2" t="s">
        <v>851</v>
      </c>
      <c r="B819" s="3">
        <v>45750</v>
      </c>
      <c r="C819" s="2" t="s">
        <v>724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>
        <v>53.8</v>
      </c>
    </row>
    <row r="820" spans="1:16">
      <c r="A820" s="2" t="s">
        <v>852</v>
      </c>
      <c r="B820" s="3">
        <v>45692</v>
      </c>
      <c r="C820" s="2" t="s">
        <v>724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>
        <v>69.7</v>
      </c>
    </row>
    <row r="821" spans="1:16">
      <c r="A821" s="2" t="s">
        <v>853</v>
      </c>
      <c r="B821" s="3">
        <v>45796</v>
      </c>
      <c r="C821" s="2" t="s">
        <v>724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>
        <v>74.8</v>
      </c>
    </row>
    <row r="822" spans="1:16">
      <c r="A822" s="2" t="s">
        <v>854</v>
      </c>
      <c r="B822" s="3">
        <v>45724</v>
      </c>
      <c r="C822" s="2" t="s">
        <v>724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>
        <v>87.9</v>
      </c>
    </row>
    <row r="823" spans="1:16">
      <c r="A823" s="2" t="s">
        <v>855</v>
      </c>
      <c r="B823" s="3">
        <v>45787</v>
      </c>
      <c r="C823" s="2" t="s">
        <v>724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>
        <v>49.1</v>
      </c>
    </row>
    <row r="824" spans="1:16">
      <c r="A824" s="2" t="s">
        <v>856</v>
      </c>
      <c r="B824" s="3">
        <v>45659</v>
      </c>
      <c r="C824" s="2" t="s">
        <v>724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>
        <v>73</v>
      </c>
    </row>
    <row r="825" spans="1:16">
      <c r="A825" s="2" t="s">
        <v>857</v>
      </c>
      <c r="B825" s="3">
        <v>45674</v>
      </c>
      <c r="C825" s="2" t="s">
        <v>724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>
        <v>79.5</v>
      </c>
    </row>
    <row r="826" spans="1:16">
      <c r="A826" s="2" t="s">
        <v>858</v>
      </c>
      <c r="B826" s="3">
        <v>45798</v>
      </c>
      <c r="C826" s="2" t="s">
        <v>724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>
        <v>93.2</v>
      </c>
    </row>
    <row r="827" spans="1:16">
      <c r="A827" s="2" t="s">
        <v>859</v>
      </c>
      <c r="B827" s="3">
        <v>45802</v>
      </c>
      <c r="C827" s="2" t="s">
        <v>724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>
        <v>77.5</v>
      </c>
    </row>
    <row r="828" spans="1:16">
      <c r="A828" s="2" t="s">
        <v>860</v>
      </c>
      <c r="B828" s="3">
        <v>45662</v>
      </c>
      <c r="C828" s="2" t="s">
        <v>724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>
        <v>61</v>
      </c>
    </row>
    <row r="829" spans="1:16">
      <c r="A829" s="2" t="s">
        <v>861</v>
      </c>
      <c r="B829" s="3">
        <v>45712</v>
      </c>
      <c r="C829" s="2" t="s">
        <v>724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>
        <v>64.900000000000006</v>
      </c>
    </row>
    <row r="830" spans="1:16">
      <c r="A830" s="2" t="s">
        <v>862</v>
      </c>
      <c r="B830" s="3">
        <v>45678</v>
      </c>
      <c r="C830" s="2" t="s">
        <v>724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>
        <v>87.5</v>
      </c>
    </row>
    <row r="831" spans="1:16">
      <c r="A831" s="2" t="s">
        <v>863</v>
      </c>
      <c r="B831" s="3">
        <v>45771</v>
      </c>
      <c r="C831" s="2" t="s">
        <v>724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>
        <v>80.599999999999994</v>
      </c>
    </row>
    <row r="832" spans="1:16">
      <c r="A832" s="2" t="s">
        <v>864</v>
      </c>
      <c r="B832" s="3">
        <v>45664</v>
      </c>
      <c r="C832" s="2" t="s">
        <v>724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>
        <v>66.900000000000006</v>
      </c>
    </row>
    <row r="833" spans="1:16">
      <c r="A833" s="2" t="s">
        <v>865</v>
      </c>
      <c r="B833" s="3">
        <v>45808</v>
      </c>
      <c r="C833" s="2" t="s">
        <v>724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>
        <v>58.8</v>
      </c>
    </row>
    <row r="834" spans="1:16">
      <c r="A834" s="2" t="s">
        <v>866</v>
      </c>
      <c r="B834" s="3">
        <v>45749</v>
      </c>
      <c r="C834" s="2" t="s">
        <v>724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>
        <v>42.9</v>
      </c>
    </row>
    <row r="835" spans="1:16">
      <c r="A835" s="2" t="s">
        <v>867</v>
      </c>
      <c r="B835" s="3">
        <v>45768</v>
      </c>
      <c r="C835" s="2" t="s">
        <v>724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>
        <v>60.2</v>
      </c>
    </row>
    <row r="836" spans="1:16">
      <c r="A836" s="2" t="s">
        <v>868</v>
      </c>
      <c r="B836" s="3">
        <v>45782</v>
      </c>
      <c r="C836" s="2" t="s">
        <v>724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>
        <v>42.7</v>
      </c>
    </row>
    <row r="837" spans="1:16">
      <c r="A837" s="2" t="s">
        <v>869</v>
      </c>
      <c r="B837" s="3">
        <v>45663</v>
      </c>
      <c r="C837" s="2" t="s">
        <v>724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>
        <v>60.8</v>
      </c>
    </row>
    <row r="838" spans="1:16">
      <c r="A838" s="2" t="s">
        <v>870</v>
      </c>
      <c r="B838" s="3">
        <v>45771</v>
      </c>
      <c r="C838" s="2" t="s">
        <v>724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>
        <v>79.3</v>
      </c>
    </row>
    <row r="839" spans="1:16">
      <c r="A839" s="2" t="s">
        <v>871</v>
      </c>
      <c r="B839" s="3">
        <v>45768</v>
      </c>
      <c r="C839" s="2" t="s">
        <v>724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>
        <v>88.6</v>
      </c>
    </row>
    <row r="840" spans="1:16">
      <c r="A840" s="2" t="s">
        <v>872</v>
      </c>
      <c r="B840" s="3">
        <v>45697</v>
      </c>
      <c r="C840" s="2" t="s">
        <v>724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>
        <v>63.1</v>
      </c>
    </row>
    <row r="841" spans="1:16">
      <c r="A841" s="2" t="s">
        <v>873</v>
      </c>
      <c r="B841" s="3">
        <v>45666</v>
      </c>
      <c r="C841" s="2" t="s">
        <v>724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>
        <v>39.700000000000003</v>
      </c>
    </row>
    <row r="842" spans="1:16">
      <c r="A842" s="2" t="s">
        <v>874</v>
      </c>
      <c r="B842" s="3">
        <v>45704</v>
      </c>
      <c r="C842" s="2" t="s">
        <v>724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>
        <v>67.2</v>
      </c>
    </row>
    <row r="843" spans="1:16">
      <c r="A843" s="2" t="s">
        <v>875</v>
      </c>
      <c r="B843" s="3">
        <v>45709</v>
      </c>
      <c r="C843" s="2" t="s">
        <v>724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>
        <v>62.3</v>
      </c>
    </row>
    <row r="844" spans="1:16">
      <c r="A844" s="2" t="s">
        <v>876</v>
      </c>
      <c r="B844" s="3">
        <v>45696</v>
      </c>
      <c r="C844" s="2" t="s">
        <v>724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>
        <v>59.9</v>
      </c>
    </row>
    <row r="845" spans="1:16">
      <c r="A845" s="2" t="s">
        <v>877</v>
      </c>
      <c r="B845" s="3">
        <v>45679</v>
      </c>
      <c r="C845" s="2" t="s">
        <v>724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>
        <v>60.7</v>
      </c>
    </row>
    <row r="846" spans="1:16">
      <c r="A846" s="2" t="s">
        <v>878</v>
      </c>
      <c r="B846" s="3">
        <v>45748</v>
      </c>
      <c r="C846" s="2" t="s">
        <v>724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>
        <v>61.5</v>
      </c>
    </row>
    <row r="847" spans="1:16">
      <c r="A847" s="2" t="s">
        <v>879</v>
      </c>
      <c r="B847" s="3">
        <v>45678</v>
      </c>
      <c r="C847" s="2" t="s">
        <v>724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>
        <v>75</v>
      </c>
    </row>
    <row r="848" spans="1:16">
      <c r="A848" s="2" t="s">
        <v>880</v>
      </c>
      <c r="B848" s="3">
        <v>45659</v>
      </c>
      <c r="C848" s="2" t="s">
        <v>724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>
        <v>51.9</v>
      </c>
    </row>
    <row r="849" spans="1:16">
      <c r="A849" s="2" t="s">
        <v>881</v>
      </c>
      <c r="B849" s="3">
        <v>45789</v>
      </c>
      <c r="C849" s="2" t="s">
        <v>724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>
        <v>34.5</v>
      </c>
    </row>
    <row r="850" spans="1:16">
      <c r="A850" s="2" t="s">
        <v>882</v>
      </c>
      <c r="B850" s="3">
        <v>45721</v>
      </c>
      <c r="C850" s="2" t="s">
        <v>724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>
        <v>54.5</v>
      </c>
    </row>
    <row r="851" spans="1:16">
      <c r="A851" s="2" t="s">
        <v>883</v>
      </c>
      <c r="B851" s="3">
        <v>45681</v>
      </c>
      <c r="C851" s="2" t="s">
        <v>724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>
        <v>46</v>
      </c>
    </row>
    <row r="852" spans="1:16">
      <c r="A852" s="2" t="s">
        <v>884</v>
      </c>
      <c r="B852" s="3">
        <v>45688</v>
      </c>
      <c r="C852" s="2" t="s">
        <v>724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>
        <v>88.4</v>
      </c>
    </row>
    <row r="853" spans="1:16">
      <c r="A853" s="2" t="s">
        <v>885</v>
      </c>
      <c r="B853" s="3">
        <v>45681</v>
      </c>
      <c r="C853" s="2" t="s">
        <v>724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>
        <v>69.5</v>
      </c>
    </row>
    <row r="854" spans="1:16">
      <c r="A854" s="2" t="s">
        <v>886</v>
      </c>
      <c r="B854" s="3">
        <v>45702</v>
      </c>
      <c r="C854" s="2" t="s">
        <v>724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>
        <v>74.2</v>
      </c>
    </row>
    <row r="855" spans="1:16">
      <c r="A855" s="2" t="s">
        <v>887</v>
      </c>
      <c r="B855" s="3">
        <v>45804</v>
      </c>
      <c r="C855" s="2" t="s">
        <v>724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>
        <v>72.099999999999994</v>
      </c>
    </row>
    <row r="856" spans="1:16">
      <c r="A856" s="2" t="s">
        <v>888</v>
      </c>
      <c r="B856" s="3">
        <v>45716</v>
      </c>
      <c r="C856" s="2" t="s">
        <v>724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>
        <v>85.1</v>
      </c>
    </row>
    <row r="857" spans="1:16">
      <c r="A857" s="2" t="s">
        <v>889</v>
      </c>
      <c r="B857" s="3">
        <v>45804</v>
      </c>
      <c r="C857" s="2" t="s">
        <v>724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>
        <v>49.5</v>
      </c>
    </row>
    <row r="858" spans="1:16">
      <c r="A858" s="2" t="s">
        <v>890</v>
      </c>
      <c r="B858" s="3">
        <v>45794</v>
      </c>
      <c r="C858" s="2" t="s">
        <v>724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>
        <v>79</v>
      </c>
    </row>
    <row r="859" spans="1:16">
      <c r="A859" s="2" t="s">
        <v>891</v>
      </c>
      <c r="B859" s="3">
        <v>45667</v>
      </c>
      <c r="C859" s="2" t="s">
        <v>724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>
        <v>71.8</v>
      </c>
    </row>
    <row r="860" spans="1:16">
      <c r="A860" s="2" t="s">
        <v>892</v>
      </c>
      <c r="B860" s="3">
        <v>45769</v>
      </c>
      <c r="C860" s="2" t="s">
        <v>724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>
        <v>60.4</v>
      </c>
    </row>
    <row r="861" spans="1:16">
      <c r="A861" s="2" t="s">
        <v>893</v>
      </c>
      <c r="B861" s="3">
        <v>45718</v>
      </c>
      <c r="C861" s="2" t="s">
        <v>724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>
        <v>38.299999999999997</v>
      </c>
    </row>
    <row r="862" spans="1:16">
      <c r="A862" s="2" t="s">
        <v>894</v>
      </c>
      <c r="B862" s="3">
        <v>45739</v>
      </c>
      <c r="C862" s="2" t="s">
        <v>724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>
        <v>79.599999999999994</v>
      </c>
    </row>
    <row r="863" spans="1:16">
      <c r="A863" s="2" t="s">
        <v>895</v>
      </c>
      <c r="B863" s="3">
        <v>45700</v>
      </c>
      <c r="C863" s="2" t="s">
        <v>724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>
        <v>71.900000000000006</v>
      </c>
    </row>
    <row r="864" spans="1:16">
      <c r="A864" s="2" t="s">
        <v>896</v>
      </c>
      <c r="B864" s="3">
        <v>45780</v>
      </c>
      <c r="C864" s="2" t="s">
        <v>724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>
        <v>54.6</v>
      </c>
    </row>
    <row r="865" spans="1:16">
      <c r="A865" s="2" t="s">
        <v>897</v>
      </c>
      <c r="B865" s="3">
        <v>45744</v>
      </c>
      <c r="C865" s="2" t="s">
        <v>724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>
        <v>49.3</v>
      </c>
    </row>
    <row r="866" spans="1:16">
      <c r="A866" s="2" t="s">
        <v>898</v>
      </c>
      <c r="B866" s="3">
        <v>45728</v>
      </c>
      <c r="C866" s="2" t="s">
        <v>724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>
        <v>66.900000000000006</v>
      </c>
    </row>
    <row r="867" spans="1:16">
      <c r="A867" s="2" t="s">
        <v>899</v>
      </c>
      <c r="B867" s="3">
        <v>45774</v>
      </c>
      <c r="C867" s="2" t="s">
        <v>724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>
        <v>77.8</v>
      </c>
    </row>
    <row r="868" spans="1:16">
      <c r="A868" s="2" t="s">
        <v>900</v>
      </c>
      <c r="B868" s="3">
        <v>45749</v>
      </c>
      <c r="C868" s="2" t="s">
        <v>724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>
        <v>63</v>
      </c>
    </row>
    <row r="869" spans="1:16">
      <c r="A869" s="2" t="s">
        <v>901</v>
      </c>
      <c r="B869" s="3">
        <v>45768</v>
      </c>
      <c r="C869" s="2" t="s">
        <v>724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>
        <v>79.8</v>
      </c>
    </row>
    <row r="870" spans="1:16">
      <c r="A870" s="2" t="s">
        <v>902</v>
      </c>
      <c r="B870" s="3">
        <v>45683</v>
      </c>
      <c r="C870" s="2" t="s">
        <v>724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>
        <v>69.900000000000006</v>
      </c>
    </row>
    <row r="871" spans="1:16">
      <c r="A871" s="2" t="s">
        <v>903</v>
      </c>
      <c r="B871" s="3">
        <v>45663</v>
      </c>
      <c r="C871" s="2" t="s">
        <v>724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>
        <v>66.400000000000006</v>
      </c>
    </row>
    <row r="872" spans="1:16">
      <c r="A872" s="2" t="s">
        <v>904</v>
      </c>
      <c r="B872" s="3">
        <v>45695</v>
      </c>
      <c r="C872" s="2" t="s">
        <v>724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>
        <v>27.6</v>
      </c>
    </row>
    <row r="873" spans="1:16">
      <c r="A873" s="2" t="s">
        <v>905</v>
      </c>
      <c r="B873" s="3">
        <v>45784</v>
      </c>
      <c r="C873" s="2" t="s">
        <v>724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>
        <v>56.5</v>
      </c>
    </row>
    <row r="874" spans="1:16">
      <c r="A874" s="2" t="s">
        <v>906</v>
      </c>
      <c r="B874" s="3">
        <v>45769</v>
      </c>
      <c r="C874" s="2" t="s">
        <v>724</v>
      </c>
      <c r="D874" s="2" t="s">
        <v>23</v>
      </c>
      <c r="E874" s="2" t="s">
        <v>156</v>
      </c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>
        <v>67.8</v>
      </c>
    </row>
    <row r="875" spans="1:16">
      <c r="A875" s="2" t="s">
        <v>907</v>
      </c>
      <c r="B875" s="3">
        <v>45781</v>
      </c>
      <c r="C875" s="2" t="s">
        <v>724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>
        <v>80</v>
      </c>
    </row>
    <row r="876" spans="1:16">
      <c r="A876" s="2" t="s">
        <v>908</v>
      </c>
      <c r="B876" s="3">
        <v>45793</v>
      </c>
      <c r="C876" s="2" t="s">
        <v>724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>
        <v>80.900000000000006</v>
      </c>
    </row>
    <row r="877" spans="1:16">
      <c r="A877" s="2" t="s">
        <v>909</v>
      </c>
      <c r="B877" s="3">
        <v>45699</v>
      </c>
      <c r="C877" s="2" t="s">
        <v>724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>
        <v>34.5</v>
      </c>
    </row>
    <row r="878" spans="1:16">
      <c r="A878" s="2" t="s">
        <v>910</v>
      </c>
      <c r="B878" s="3">
        <v>45786</v>
      </c>
      <c r="C878" s="2" t="s">
        <v>724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>
        <v>73.5</v>
      </c>
    </row>
    <row r="879" spans="1:16">
      <c r="A879" s="2" t="s">
        <v>911</v>
      </c>
      <c r="B879" s="3">
        <v>45697</v>
      </c>
      <c r="C879" s="2" t="s">
        <v>724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>
        <v>70</v>
      </c>
    </row>
    <row r="880" spans="1:16">
      <c r="A880" s="2" t="s">
        <v>912</v>
      </c>
      <c r="B880" s="3">
        <v>45799</v>
      </c>
      <c r="C880" s="2" t="s">
        <v>724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>
        <v>86.9</v>
      </c>
    </row>
    <row r="881" spans="1:16">
      <c r="A881" s="2" t="s">
        <v>913</v>
      </c>
      <c r="B881" s="3">
        <v>45801</v>
      </c>
      <c r="C881" s="2" t="s">
        <v>724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>
        <v>66.900000000000006</v>
      </c>
    </row>
    <row r="882" spans="1:16">
      <c r="A882" s="2" t="s">
        <v>914</v>
      </c>
      <c r="B882" s="3">
        <v>45774</v>
      </c>
      <c r="C882" s="2" t="s">
        <v>724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>
        <v>58.3</v>
      </c>
    </row>
    <row r="883" spans="1:16">
      <c r="A883" s="2" t="s">
        <v>915</v>
      </c>
      <c r="B883" s="3">
        <v>45735</v>
      </c>
      <c r="C883" s="2" t="s">
        <v>724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>
        <v>45</v>
      </c>
    </row>
    <row r="884" spans="1:16">
      <c r="A884" s="2" t="s">
        <v>916</v>
      </c>
      <c r="B884" s="3">
        <v>45797</v>
      </c>
      <c r="C884" s="2" t="s">
        <v>724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>
        <v>60.8</v>
      </c>
    </row>
    <row r="885" spans="1:16">
      <c r="A885" s="2" t="s">
        <v>917</v>
      </c>
      <c r="B885" s="3">
        <v>45787</v>
      </c>
      <c r="C885" s="2" t="s">
        <v>724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>
        <v>53.7</v>
      </c>
    </row>
    <row r="886" spans="1:16">
      <c r="A886" s="2" t="s">
        <v>918</v>
      </c>
      <c r="B886" s="3">
        <v>45745</v>
      </c>
      <c r="C886" s="2" t="s">
        <v>724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>
        <v>48.8</v>
      </c>
    </row>
    <row r="887" spans="1:16">
      <c r="A887" s="2" t="s">
        <v>919</v>
      </c>
      <c r="B887" s="3">
        <v>45750</v>
      </c>
      <c r="C887" s="2" t="s">
        <v>724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>
        <v>52.9</v>
      </c>
    </row>
    <row r="888" spans="1:16">
      <c r="A888" s="2" t="s">
        <v>920</v>
      </c>
      <c r="B888" s="3">
        <v>45807</v>
      </c>
      <c r="C888" s="2" t="s">
        <v>724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>
        <v>42.4</v>
      </c>
    </row>
    <row r="889" spans="1:16">
      <c r="A889" s="2" t="s">
        <v>921</v>
      </c>
      <c r="B889" s="3">
        <v>45753</v>
      </c>
      <c r="C889" s="2" t="s">
        <v>724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>
        <v>58.7</v>
      </c>
    </row>
    <row r="890" spans="1:16">
      <c r="A890" s="2" t="s">
        <v>922</v>
      </c>
      <c r="B890" s="3">
        <v>45730</v>
      </c>
      <c r="C890" s="2" t="s">
        <v>724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>
        <v>67.8</v>
      </c>
    </row>
    <row r="891" spans="1:16">
      <c r="A891" s="2" t="s">
        <v>923</v>
      </c>
      <c r="B891" s="3">
        <v>45712</v>
      </c>
      <c r="C891" s="2" t="s">
        <v>724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>
        <v>62.6</v>
      </c>
    </row>
    <row r="892" spans="1:16">
      <c r="A892" s="2" t="s">
        <v>924</v>
      </c>
      <c r="B892" s="3">
        <v>45720</v>
      </c>
      <c r="C892" s="2" t="s">
        <v>724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>
        <v>82.4</v>
      </c>
    </row>
    <row r="893" spans="1:16">
      <c r="A893" s="2" t="s">
        <v>925</v>
      </c>
      <c r="B893" s="3">
        <v>45749</v>
      </c>
      <c r="C893" s="2" t="s">
        <v>724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>
        <v>50.4</v>
      </c>
    </row>
    <row r="894" spans="1:16">
      <c r="A894" s="2" t="s">
        <v>926</v>
      </c>
      <c r="B894" s="3">
        <v>45788</v>
      </c>
      <c r="C894" s="2" t="s">
        <v>724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>
        <v>68.400000000000006</v>
      </c>
    </row>
    <row r="895" spans="1:16">
      <c r="A895" s="2" t="s">
        <v>927</v>
      </c>
      <c r="B895" s="3">
        <v>45787</v>
      </c>
      <c r="C895" s="2" t="s">
        <v>724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>
        <v>58.8</v>
      </c>
    </row>
    <row r="896" spans="1:16">
      <c r="A896" s="2" t="s">
        <v>928</v>
      </c>
      <c r="B896" s="3">
        <v>45783</v>
      </c>
      <c r="C896" s="2" t="s">
        <v>724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>
        <v>28.3</v>
      </c>
    </row>
    <row r="897" spans="1:16">
      <c r="A897" s="2" t="s">
        <v>929</v>
      </c>
      <c r="B897" s="3">
        <v>45699</v>
      </c>
      <c r="C897" s="2" t="s">
        <v>724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>
        <v>44.1</v>
      </c>
    </row>
    <row r="898" spans="1:16">
      <c r="A898" s="2" t="s">
        <v>930</v>
      </c>
      <c r="B898" s="3">
        <v>45786</v>
      </c>
      <c r="C898" s="2" t="s">
        <v>724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>
        <v>66.7</v>
      </c>
    </row>
    <row r="899" spans="1:16">
      <c r="A899" s="2" t="s">
        <v>931</v>
      </c>
      <c r="B899" s="3">
        <v>45690</v>
      </c>
      <c r="C899" s="2" t="s">
        <v>724</v>
      </c>
      <c r="D899" s="2" t="s">
        <v>32</v>
      </c>
      <c r="E899" s="2" t="s">
        <v>24</v>
      </c>
      <c r="F899" s="2" t="s">
        <v>156</v>
      </c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>
        <v>100</v>
      </c>
    </row>
    <row r="900" spans="1:16">
      <c r="A900" s="2" t="s">
        <v>932</v>
      </c>
      <c r="B900" s="3">
        <v>45750</v>
      </c>
      <c r="C900" s="2" t="s">
        <v>724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>
        <v>87.5</v>
      </c>
    </row>
    <row r="901" spans="1:16">
      <c r="A901" s="2" t="s">
        <v>933</v>
      </c>
      <c r="B901" s="3">
        <v>45703</v>
      </c>
      <c r="C901" s="2" t="s">
        <v>724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>
        <v>65.400000000000006</v>
      </c>
    </row>
    <row r="902" spans="1:16">
      <c r="A902" s="2" t="s">
        <v>934</v>
      </c>
      <c r="B902" s="3">
        <v>45765</v>
      </c>
      <c r="C902" s="2" t="s">
        <v>724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>
        <v>22.9</v>
      </c>
    </row>
    <row r="903" spans="1:16">
      <c r="A903" s="2" t="s">
        <v>935</v>
      </c>
      <c r="B903" s="3">
        <v>45730</v>
      </c>
      <c r="C903" s="2" t="s">
        <v>724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>
        <v>64.599999999999994</v>
      </c>
    </row>
    <row r="904" spans="1:16">
      <c r="A904" s="2" t="s">
        <v>936</v>
      </c>
      <c r="B904" s="3">
        <v>45745</v>
      </c>
      <c r="C904" s="2" t="s">
        <v>724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>
        <v>54.4</v>
      </c>
    </row>
    <row r="905" spans="1:16">
      <c r="A905" s="2" t="s">
        <v>937</v>
      </c>
      <c r="B905" s="3">
        <v>45701</v>
      </c>
      <c r="C905" s="2" t="s">
        <v>724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>
        <v>56.8</v>
      </c>
    </row>
    <row r="906" spans="1:16">
      <c r="A906" s="2" t="s">
        <v>938</v>
      </c>
      <c r="B906" s="3">
        <v>45680</v>
      </c>
      <c r="C906" s="2" t="s">
        <v>724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>
        <v>63.6</v>
      </c>
    </row>
    <row r="907" spans="1:16">
      <c r="A907" s="2" t="s">
        <v>939</v>
      </c>
      <c r="B907" s="3">
        <v>45712</v>
      </c>
      <c r="C907" s="2" t="s">
        <v>724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>
        <v>58.2</v>
      </c>
    </row>
    <row r="908" spans="1:16">
      <c r="A908" s="2" t="s">
        <v>940</v>
      </c>
      <c r="B908" s="3">
        <v>45716</v>
      </c>
      <c r="C908" s="2" t="s">
        <v>724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>
        <v>54.6</v>
      </c>
    </row>
    <row r="909" spans="1:16">
      <c r="A909" s="2" t="s">
        <v>941</v>
      </c>
      <c r="B909" s="3">
        <v>45664</v>
      </c>
      <c r="C909" s="2" t="s">
        <v>724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>
        <v>81.900000000000006</v>
      </c>
    </row>
    <row r="910" spans="1:16">
      <c r="A910" s="2" t="s">
        <v>942</v>
      </c>
      <c r="B910" s="3">
        <v>45737</v>
      </c>
      <c r="C910" s="2" t="s">
        <v>724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>
        <v>53.3</v>
      </c>
    </row>
    <row r="911" spans="1:16">
      <c r="A911" s="2" t="s">
        <v>943</v>
      </c>
      <c r="B911" s="3">
        <v>45706</v>
      </c>
      <c r="C911" s="2" t="s">
        <v>724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>
        <v>54.2</v>
      </c>
    </row>
    <row r="912" spans="1:16">
      <c r="A912" s="2" t="s">
        <v>944</v>
      </c>
      <c r="B912" s="3">
        <v>45662</v>
      </c>
      <c r="C912" s="2" t="s">
        <v>724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>
        <v>65.599999999999994</v>
      </c>
    </row>
    <row r="913" spans="1:16">
      <c r="A913" s="2" t="s">
        <v>945</v>
      </c>
      <c r="B913" s="3">
        <v>45727</v>
      </c>
      <c r="C913" s="2" t="s">
        <v>724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>
        <v>56.5</v>
      </c>
    </row>
    <row r="914" spans="1:16">
      <c r="A914" s="2" t="s">
        <v>946</v>
      </c>
      <c r="B914" s="3">
        <v>45666</v>
      </c>
      <c r="C914" s="2" t="s">
        <v>724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>
        <v>59.7</v>
      </c>
    </row>
    <row r="915" spans="1:16">
      <c r="A915" s="2" t="s">
        <v>947</v>
      </c>
      <c r="B915" s="3">
        <v>45665</v>
      </c>
      <c r="C915" s="2" t="s">
        <v>724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>
        <v>72.5</v>
      </c>
    </row>
    <row r="916" spans="1:16">
      <c r="A916" s="2" t="s">
        <v>948</v>
      </c>
      <c r="B916" s="3">
        <v>45778</v>
      </c>
      <c r="C916" s="2" t="s">
        <v>724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>
        <v>64.3</v>
      </c>
    </row>
    <row r="917" spans="1:16">
      <c r="A917" s="2" t="s">
        <v>949</v>
      </c>
      <c r="B917" s="3">
        <v>45719</v>
      </c>
      <c r="C917" s="2" t="s">
        <v>724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>
        <v>64.5</v>
      </c>
    </row>
    <row r="918" spans="1:16">
      <c r="A918" s="2" t="s">
        <v>950</v>
      </c>
      <c r="B918" s="3">
        <v>45711</v>
      </c>
      <c r="C918" s="2" t="s">
        <v>724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>
        <v>70.599999999999994</v>
      </c>
    </row>
    <row r="919" spans="1:16">
      <c r="A919" s="2" t="s">
        <v>951</v>
      </c>
      <c r="B919" s="3">
        <v>45705</v>
      </c>
      <c r="C919" s="2" t="s">
        <v>724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>
        <v>58.4</v>
      </c>
    </row>
    <row r="920" spans="1:16">
      <c r="A920" s="2" t="s">
        <v>952</v>
      </c>
      <c r="B920" s="3">
        <v>45798</v>
      </c>
      <c r="C920" s="2" t="s">
        <v>724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>
        <v>56.6</v>
      </c>
    </row>
    <row r="921" spans="1:16">
      <c r="A921" s="2" t="s">
        <v>953</v>
      </c>
      <c r="B921" s="3">
        <v>45687</v>
      </c>
      <c r="C921" s="2" t="s">
        <v>724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>
        <v>61.8</v>
      </c>
    </row>
    <row r="922" spans="1:16">
      <c r="A922" s="2" t="s">
        <v>954</v>
      </c>
      <c r="B922" s="3">
        <v>45736</v>
      </c>
      <c r="C922" s="2" t="s">
        <v>724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>
        <v>43.4</v>
      </c>
    </row>
    <row r="923" spans="1:16">
      <c r="A923" s="2" t="s">
        <v>955</v>
      </c>
      <c r="B923" s="3">
        <v>45757</v>
      </c>
      <c r="C923" s="2" t="s">
        <v>724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>
        <v>43</v>
      </c>
    </row>
    <row r="924" spans="1:16">
      <c r="A924" s="2" t="s">
        <v>956</v>
      </c>
      <c r="B924" s="3">
        <v>45723</v>
      </c>
      <c r="C924" s="2" t="s">
        <v>724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>
        <v>51.1</v>
      </c>
    </row>
    <row r="925" spans="1:16">
      <c r="A925" s="2" t="s">
        <v>957</v>
      </c>
      <c r="B925" s="3">
        <v>45728</v>
      </c>
      <c r="C925" s="2" t="s">
        <v>724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>
        <v>48.8</v>
      </c>
    </row>
    <row r="926" spans="1:16">
      <c r="A926" s="2" t="s">
        <v>958</v>
      </c>
      <c r="B926" s="3">
        <v>45712</v>
      </c>
      <c r="C926" s="2" t="s">
        <v>724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>
        <v>73.2</v>
      </c>
    </row>
    <row r="927" spans="1:16">
      <c r="A927" s="2" t="s">
        <v>959</v>
      </c>
      <c r="B927" s="3">
        <v>45672</v>
      </c>
      <c r="C927" s="2" t="s">
        <v>724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>
        <v>80</v>
      </c>
    </row>
    <row r="928" spans="1:16">
      <c r="A928" s="2" t="s">
        <v>960</v>
      </c>
      <c r="B928" s="3">
        <v>45664</v>
      </c>
      <c r="C928" s="2" t="s">
        <v>724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>
        <v>52.3</v>
      </c>
    </row>
    <row r="929" spans="1:16">
      <c r="A929" s="2" t="s">
        <v>961</v>
      </c>
      <c r="B929" s="3">
        <v>45718</v>
      </c>
      <c r="C929" s="2" t="s">
        <v>724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>
        <v>49.1</v>
      </c>
    </row>
    <row r="930" spans="1:16">
      <c r="A930" s="2" t="s">
        <v>962</v>
      </c>
      <c r="B930" s="3">
        <v>45662</v>
      </c>
      <c r="C930" s="2" t="s">
        <v>724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>
        <v>45.3</v>
      </c>
    </row>
    <row r="931" spans="1:16">
      <c r="A931" s="2" t="s">
        <v>963</v>
      </c>
      <c r="B931" s="3">
        <v>45719</v>
      </c>
      <c r="C931" s="2" t="s">
        <v>724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>
        <v>49.1</v>
      </c>
    </row>
    <row r="932" spans="1:16">
      <c r="A932" s="2" t="s">
        <v>964</v>
      </c>
      <c r="B932" s="3">
        <v>45747</v>
      </c>
      <c r="C932" s="2" t="s">
        <v>724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>
        <v>88.6</v>
      </c>
    </row>
    <row r="933" spans="1:16">
      <c r="A933" s="2" t="s">
        <v>965</v>
      </c>
      <c r="B933" s="3">
        <v>45671</v>
      </c>
      <c r="C933" s="2" t="s">
        <v>724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>
        <v>54.4</v>
      </c>
    </row>
    <row r="934" spans="1:16">
      <c r="A934" s="2" t="s">
        <v>966</v>
      </c>
      <c r="B934" s="3">
        <v>45672</v>
      </c>
      <c r="C934" s="2" t="s">
        <v>724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>
        <v>72.900000000000006</v>
      </c>
    </row>
    <row r="935" spans="1:16">
      <c r="A935" s="2" t="s">
        <v>967</v>
      </c>
      <c r="B935" s="3">
        <v>45772</v>
      </c>
      <c r="C935" s="2" t="s">
        <v>724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>
        <v>53.2</v>
      </c>
    </row>
    <row r="936" spans="1:16">
      <c r="A936" s="2" t="s">
        <v>968</v>
      </c>
      <c r="B936" s="3">
        <v>45737</v>
      </c>
      <c r="C936" s="2" t="s">
        <v>724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>
        <v>48.7</v>
      </c>
    </row>
    <row r="937" spans="1:16">
      <c r="A937" s="2" t="s">
        <v>969</v>
      </c>
      <c r="B937" s="3">
        <v>45773</v>
      </c>
      <c r="C937" s="2" t="s">
        <v>724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>
        <v>59.9</v>
      </c>
    </row>
    <row r="938" spans="1:16">
      <c r="A938" s="2" t="s">
        <v>970</v>
      </c>
      <c r="B938" s="3">
        <v>45798</v>
      </c>
      <c r="C938" s="2" t="s">
        <v>724</v>
      </c>
      <c r="D938" s="2" t="s">
        <v>32</v>
      </c>
      <c r="E938" s="2" t="s">
        <v>19</v>
      </c>
      <c r="F938" s="2" t="s">
        <v>156</v>
      </c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>
        <v>82</v>
      </c>
    </row>
    <row r="939" spans="1:16">
      <c r="A939" s="2" t="s">
        <v>971</v>
      </c>
      <c r="B939" s="3">
        <v>45765</v>
      </c>
      <c r="C939" s="2" t="s">
        <v>724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>
        <v>72.099999999999994</v>
      </c>
    </row>
    <row r="940" spans="1:16">
      <c r="A940" s="2" t="s">
        <v>972</v>
      </c>
      <c r="B940" s="3">
        <v>45686</v>
      </c>
      <c r="C940" s="2" t="s">
        <v>724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>
        <v>68.3</v>
      </c>
    </row>
    <row r="941" spans="1:16">
      <c r="A941" s="2" t="s">
        <v>973</v>
      </c>
      <c r="B941" s="3">
        <v>45805</v>
      </c>
      <c r="C941" s="2" t="s">
        <v>724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>
        <v>100</v>
      </c>
    </row>
    <row r="942" spans="1:16">
      <c r="A942" s="2" t="s">
        <v>974</v>
      </c>
      <c r="B942" s="3">
        <v>45672</v>
      </c>
      <c r="C942" s="2" t="s">
        <v>724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>
        <v>76.5</v>
      </c>
    </row>
    <row r="943" spans="1:16">
      <c r="A943" s="2" t="s">
        <v>975</v>
      </c>
      <c r="B943" s="3">
        <v>45660</v>
      </c>
      <c r="C943" s="2" t="s">
        <v>724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>
        <v>62</v>
      </c>
    </row>
    <row r="944" spans="1:16">
      <c r="A944" s="2" t="s">
        <v>976</v>
      </c>
      <c r="B944" s="3">
        <v>45692</v>
      </c>
      <c r="C944" s="2" t="s">
        <v>724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>
        <v>50.1</v>
      </c>
    </row>
    <row r="945" spans="1:16">
      <c r="A945" s="2" t="s">
        <v>977</v>
      </c>
      <c r="B945" s="3">
        <v>45710</v>
      </c>
      <c r="C945" s="2" t="s">
        <v>724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>
        <v>62.1</v>
      </c>
    </row>
    <row r="946" spans="1:16">
      <c r="A946" s="2" t="s">
        <v>978</v>
      </c>
      <c r="B946" s="3">
        <v>45783</v>
      </c>
      <c r="C946" s="2" t="s">
        <v>724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>
        <v>49.7</v>
      </c>
    </row>
    <row r="947" spans="1:16">
      <c r="A947" s="2" t="s">
        <v>979</v>
      </c>
      <c r="B947" s="3">
        <v>45688</v>
      </c>
      <c r="C947" s="2" t="s">
        <v>724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>
        <v>71.099999999999994</v>
      </c>
    </row>
    <row r="948" spans="1:16">
      <c r="A948" s="2" t="s">
        <v>980</v>
      </c>
      <c r="B948" s="3">
        <v>45706</v>
      </c>
      <c r="C948" s="2" t="s">
        <v>724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>
        <v>70.8</v>
      </c>
    </row>
    <row r="949" spans="1:16">
      <c r="A949" s="2" t="s">
        <v>981</v>
      </c>
      <c r="B949" s="3">
        <v>45770</v>
      </c>
      <c r="C949" s="2" t="s">
        <v>724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>
        <v>52.2</v>
      </c>
    </row>
    <row r="950" spans="1:16">
      <c r="A950" s="2" t="s">
        <v>982</v>
      </c>
      <c r="B950" s="3">
        <v>45694</v>
      </c>
      <c r="C950" s="2" t="s">
        <v>724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>
        <v>73</v>
      </c>
    </row>
    <row r="951" spans="1:16">
      <c r="A951" s="2" t="s">
        <v>983</v>
      </c>
      <c r="B951" s="3">
        <v>45773</v>
      </c>
      <c r="C951" s="2" t="s">
        <v>724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>
        <v>78.2</v>
      </c>
    </row>
    <row r="952" spans="1:16">
      <c r="A952" s="2" t="s">
        <v>984</v>
      </c>
      <c r="B952" s="3">
        <v>45746</v>
      </c>
      <c r="C952" s="2" t="s">
        <v>724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>
        <v>68.8</v>
      </c>
    </row>
    <row r="953" spans="1:16">
      <c r="A953" s="2" t="s">
        <v>985</v>
      </c>
      <c r="B953" s="3">
        <v>45760</v>
      </c>
      <c r="C953" s="2" t="s">
        <v>724</v>
      </c>
      <c r="D953" s="2" t="s">
        <v>23</v>
      </c>
      <c r="E953" s="2" t="s">
        <v>24</v>
      </c>
      <c r="F953" s="2" t="s">
        <v>156</v>
      </c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>
        <v>57.1</v>
      </c>
    </row>
    <row r="954" spans="1:16">
      <c r="A954" s="2" t="s">
        <v>986</v>
      </c>
      <c r="B954" s="3">
        <v>45751</v>
      </c>
      <c r="C954" s="2" t="s">
        <v>724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>
        <v>74.599999999999994</v>
      </c>
    </row>
    <row r="955" spans="1:16">
      <c r="A955" s="2" t="s">
        <v>987</v>
      </c>
      <c r="B955" s="3">
        <v>45750</v>
      </c>
      <c r="C955" s="2" t="s">
        <v>724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>
        <v>64.099999999999994</v>
      </c>
    </row>
    <row r="956" spans="1:16">
      <c r="A956" s="2" t="s">
        <v>988</v>
      </c>
      <c r="B956" s="3">
        <v>45730</v>
      </c>
      <c r="C956" s="2" t="s">
        <v>724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>
        <v>67.3</v>
      </c>
    </row>
    <row r="957" spans="1:16">
      <c r="A957" s="2" t="s">
        <v>989</v>
      </c>
      <c r="B957" s="3">
        <v>45671</v>
      </c>
      <c r="C957" s="2" t="s">
        <v>724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>
        <v>41</v>
      </c>
    </row>
    <row r="958" spans="1:16">
      <c r="A958" s="2" t="s">
        <v>990</v>
      </c>
      <c r="B958" s="3">
        <v>45782</v>
      </c>
      <c r="C958" s="2" t="s">
        <v>724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>
        <v>48.1</v>
      </c>
    </row>
    <row r="959" spans="1:16">
      <c r="A959" s="2" t="s">
        <v>991</v>
      </c>
      <c r="B959" s="3">
        <v>45779</v>
      </c>
      <c r="C959" s="2" t="s">
        <v>724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>
        <v>60.8</v>
      </c>
    </row>
    <row r="960" spans="1:16">
      <c r="A960" s="2" t="s">
        <v>992</v>
      </c>
      <c r="B960" s="3">
        <v>45798</v>
      </c>
      <c r="C960" s="2" t="s">
        <v>724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>
        <v>63.1</v>
      </c>
    </row>
    <row r="961" spans="1:16">
      <c r="A961" s="2" t="s">
        <v>993</v>
      </c>
      <c r="B961" s="3">
        <v>45793</v>
      </c>
      <c r="C961" s="2" t="s">
        <v>724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>
        <v>49.7</v>
      </c>
    </row>
    <row r="962" spans="1:16">
      <c r="A962" s="2" t="s">
        <v>994</v>
      </c>
      <c r="B962" s="3">
        <v>45801</v>
      </c>
      <c r="C962" s="2" t="s">
        <v>724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>
        <v>83.4</v>
      </c>
    </row>
    <row r="963" spans="1:16">
      <c r="A963" s="2" t="s">
        <v>995</v>
      </c>
      <c r="B963" s="3">
        <v>45734</v>
      </c>
      <c r="C963" s="2" t="s">
        <v>724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>
        <v>75.900000000000006</v>
      </c>
    </row>
    <row r="964" spans="1:16">
      <c r="A964" s="2" t="s">
        <v>996</v>
      </c>
      <c r="B964" s="3">
        <v>45668</v>
      </c>
      <c r="C964" s="2" t="s">
        <v>724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>
        <v>71.8</v>
      </c>
    </row>
    <row r="965" spans="1:16">
      <c r="A965" s="2" t="s">
        <v>997</v>
      </c>
      <c r="B965" s="3">
        <v>45697</v>
      </c>
      <c r="C965" s="2" t="s">
        <v>724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>
        <v>37.9</v>
      </c>
    </row>
    <row r="966" spans="1:16">
      <c r="A966" s="2" t="s">
        <v>998</v>
      </c>
      <c r="B966" s="3">
        <v>45717</v>
      </c>
      <c r="C966" s="2" t="s">
        <v>724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>
        <v>59.8</v>
      </c>
    </row>
    <row r="967" spans="1:16">
      <c r="A967" s="2" t="s">
        <v>999</v>
      </c>
      <c r="B967" s="3">
        <v>45784</v>
      </c>
      <c r="C967" s="2" t="s">
        <v>724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>
        <v>66.900000000000006</v>
      </c>
    </row>
    <row r="968" spans="1:16">
      <c r="A968" s="2" t="s">
        <v>1000</v>
      </c>
      <c r="B968" s="3">
        <v>45707</v>
      </c>
      <c r="C968" s="2" t="s">
        <v>724</v>
      </c>
      <c r="D968" s="2" t="s">
        <v>32</v>
      </c>
      <c r="E968" s="2" t="s">
        <v>19</v>
      </c>
      <c r="F968" s="2" t="s">
        <v>156</v>
      </c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>
        <v>59</v>
      </c>
    </row>
    <row r="969" spans="1:16">
      <c r="A969" s="2" t="s">
        <v>1001</v>
      </c>
      <c r="B969" s="3">
        <v>45714</v>
      </c>
      <c r="C969" s="2" t="s">
        <v>724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>
        <v>80.099999999999994</v>
      </c>
    </row>
    <row r="970" spans="1:16">
      <c r="A970" s="2" t="s">
        <v>1002</v>
      </c>
      <c r="B970" s="3">
        <v>45739</v>
      </c>
      <c r="C970" s="2" t="s">
        <v>724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>
        <v>64.3</v>
      </c>
    </row>
    <row r="971" spans="1:16">
      <c r="A971" s="2" t="s">
        <v>1003</v>
      </c>
      <c r="B971" s="3">
        <v>45772</v>
      </c>
      <c r="C971" s="2" t="s">
        <v>724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>
        <v>57.4</v>
      </c>
    </row>
    <row r="972" spans="1:16">
      <c r="A972" s="2" t="s">
        <v>1004</v>
      </c>
      <c r="B972" s="3">
        <v>45787</v>
      </c>
      <c r="C972" s="2" t="s">
        <v>724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>
        <v>83.6</v>
      </c>
    </row>
    <row r="973" spans="1:16">
      <c r="A973" s="2" t="s">
        <v>1005</v>
      </c>
      <c r="B973" s="3">
        <v>45769</v>
      </c>
      <c r="C973" s="2" t="s">
        <v>724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>
        <v>45.8</v>
      </c>
    </row>
    <row r="974" spans="1:16">
      <c r="A974" s="2" t="s">
        <v>1006</v>
      </c>
      <c r="B974" s="3">
        <v>45706</v>
      </c>
      <c r="C974" s="2" t="s">
        <v>724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>
        <v>64.3</v>
      </c>
    </row>
    <row r="975" spans="1:16">
      <c r="A975" s="2" t="s">
        <v>1007</v>
      </c>
      <c r="B975" s="3">
        <v>45683</v>
      </c>
      <c r="C975" s="2" t="s">
        <v>724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>
        <v>80.5</v>
      </c>
    </row>
    <row r="976" spans="1:16">
      <c r="A976" s="2" t="s">
        <v>1008</v>
      </c>
      <c r="B976" s="3">
        <v>45775</v>
      </c>
      <c r="C976" s="2" t="s">
        <v>724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>
        <v>46.3</v>
      </c>
    </row>
    <row r="977" spans="1:16">
      <c r="A977" s="2" t="s">
        <v>1009</v>
      </c>
      <c r="B977" s="3">
        <v>45749</v>
      </c>
      <c r="C977" s="2" t="s">
        <v>724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>
        <v>71.599999999999994</v>
      </c>
    </row>
    <row r="978" spans="1:16">
      <c r="A978" s="2" t="s">
        <v>1010</v>
      </c>
      <c r="B978" s="3">
        <v>45759</v>
      </c>
      <c r="C978" s="2" t="s">
        <v>724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>
        <v>57.8</v>
      </c>
    </row>
    <row r="979" spans="1:16">
      <c r="A979" s="2" t="s">
        <v>1011</v>
      </c>
      <c r="B979" s="3">
        <v>45660</v>
      </c>
      <c r="C979" s="2" t="s">
        <v>724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>
        <v>57.8</v>
      </c>
    </row>
    <row r="980" spans="1:16">
      <c r="A980" s="2" t="s">
        <v>1012</v>
      </c>
      <c r="B980" s="3">
        <v>45785</v>
      </c>
      <c r="C980" s="2" t="s">
        <v>724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>
        <v>38.299999999999997</v>
      </c>
    </row>
    <row r="981" spans="1:16">
      <c r="A981" s="2" t="s">
        <v>1013</v>
      </c>
      <c r="B981" s="3">
        <v>45708</v>
      </c>
      <c r="C981" s="2" t="s">
        <v>724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>
        <v>66.099999999999994</v>
      </c>
    </row>
    <row r="982" spans="1:16">
      <c r="A982" s="2" t="s">
        <v>1014</v>
      </c>
      <c r="B982" s="3">
        <v>45733</v>
      </c>
      <c r="C982" s="2" t="s">
        <v>724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>
        <v>66.5</v>
      </c>
    </row>
    <row r="983" spans="1:16">
      <c r="A983" s="2" t="s">
        <v>1015</v>
      </c>
      <c r="B983" s="3">
        <v>45757</v>
      </c>
      <c r="C983" s="2" t="s">
        <v>724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>
        <v>51.5</v>
      </c>
    </row>
    <row r="984" spans="1:16">
      <c r="A984" s="2" t="s">
        <v>1016</v>
      </c>
      <c r="B984" s="3">
        <v>45785</v>
      </c>
      <c r="C984" s="2" t="s">
        <v>724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>
        <v>59.9</v>
      </c>
    </row>
    <row r="985" spans="1:16">
      <c r="A985" s="2" t="s">
        <v>1017</v>
      </c>
      <c r="B985" s="3">
        <v>45766</v>
      </c>
      <c r="C985" s="2" t="s">
        <v>724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>
        <v>58.8</v>
      </c>
    </row>
    <row r="986" spans="1:16">
      <c r="A986" s="2" t="s">
        <v>1018</v>
      </c>
      <c r="B986" s="3">
        <v>45658</v>
      </c>
      <c r="C986" s="2" t="s">
        <v>724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>
        <v>69.599999999999994</v>
      </c>
    </row>
    <row r="987" spans="1:16">
      <c r="A987" s="2" t="s">
        <v>1019</v>
      </c>
      <c r="B987" s="3">
        <v>45726</v>
      </c>
      <c r="C987" s="2" t="s">
        <v>724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>
        <v>77.5</v>
      </c>
    </row>
    <row r="988" spans="1:16">
      <c r="A988" s="2" t="s">
        <v>1020</v>
      </c>
      <c r="B988" s="3">
        <v>45726</v>
      </c>
      <c r="C988" s="2" t="s">
        <v>724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>
        <v>57.5</v>
      </c>
    </row>
    <row r="989" spans="1:16">
      <c r="A989" s="2" t="s">
        <v>1021</v>
      </c>
      <c r="B989" s="3">
        <v>45766</v>
      </c>
      <c r="C989" s="2" t="s">
        <v>724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>
        <v>64.2</v>
      </c>
    </row>
    <row r="990" spans="1:16">
      <c r="A990" s="2" t="s">
        <v>1022</v>
      </c>
      <c r="B990" s="3">
        <v>45758</v>
      </c>
      <c r="C990" s="2" t="s">
        <v>724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>
        <v>60</v>
      </c>
    </row>
    <row r="991" spans="1:16">
      <c r="A991" s="2" t="s">
        <v>1023</v>
      </c>
      <c r="B991" s="3">
        <v>45757</v>
      </c>
      <c r="C991" s="2" t="s">
        <v>724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>
        <v>43.7</v>
      </c>
    </row>
    <row r="992" spans="1:16">
      <c r="A992" s="2" t="s">
        <v>1024</v>
      </c>
      <c r="B992" s="3">
        <v>45670</v>
      </c>
      <c r="C992" s="2" t="s">
        <v>724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>
        <v>64.900000000000006</v>
      </c>
    </row>
    <row r="993" spans="1:16">
      <c r="A993" s="2" t="s">
        <v>1025</v>
      </c>
      <c r="B993" s="3">
        <v>45744</v>
      </c>
      <c r="C993" s="2" t="s">
        <v>724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>
        <v>45.5</v>
      </c>
    </row>
    <row r="994" spans="1:16">
      <c r="A994" s="2" t="s">
        <v>1026</v>
      </c>
      <c r="B994" s="3">
        <v>45686</v>
      </c>
      <c r="C994" s="2" t="s">
        <v>724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>
        <v>61.2</v>
      </c>
    </row>
    <row r="995" spans="1:16">
      <c r="A995" s="2" t="s">
        <v>1027</v>
      </c>
      <c r="B995" s="3">
        <v>45743</v>
      </c>
      <c r="C995" s="2" t="s">
        <v>724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>
        <v>87.8</v>
      </c>
    </row>
    <row r="996" spans="1:16">
      <c r="A996" s="2" t="s">
        <v>1028</v>
      </c>
      <c r="B996" s="3">
        <v>45736</v>
      </c>
      <c r="C996" s="2" t="s">
        <v>724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>
        <v>86.4</v>
      </c>
    </row>
    <row r="997" spans="1:16">
      <c r="A997" s="2" t="s">
        <v>1029</v>
      </c>
      <c r="B997" s="3">
        <v>45666</v>
      </c>
      <c r="C997" s="2" t="s">
        <v>724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>
        <v>71.400000000000006</v>
      </c>
    </row>
    <row r="998" spans="1:16">
      <c r="A998" s="2" t="s">
        <v>1030</v>
      </c>
      <c r="B998" s="3">
        <v>45772</v>
      </c>
      <c r="C998" s="2" t="s">
        <v>724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>
        <v>72.2</v>
      </c>
    </row>
    <row r="999" spans="1:16">
      <c r="A999" s="2" t="s">
        <v>1031</v>
      </c>
      <c r="B999" s="3">
        <v>45758</v>
      </c>
      <c r="C999" s="2" t="s">
        <v>724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>
        <v>51.9</v>
      </c>
    </row>
    <row r="1000" spans="1:16">
      <c r="A1000" s="2" t="s">
        <v>1032</v>
      </c>
      <c r="B1000" s="3">
        <v>45693</v>
      </c>
      <c r="C1000" s="2" t="s">
        <v>724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>
        <v>70.3</v>
      </c>
    </row>
    <row r="1001" spans="1:16">
      <c r="A1001" s="2" t="s">
        <v>1033</v>
      </c>
      <c r="B1001" s="3">
        <v>45744</v>
      </c>
      <c r="C1001" s="2" t="s">
        <v>724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>
        <v>49.2</v>
      </c>
    </row>
    <row r="1002" spans="1:16">
      <c r="A1002" s="2" t="s">
        <v>1034</v>
      </c>
      <c r="B1002" s="3">
        <v>45791</v>
      </c>
      <c r="C1002" s="2" t="s">
        <v>724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>
        <v>52.2</v>
      </c>
    </row>
    <row r="1003" spans="1:16">
      <c r="A1003" s="2" t="s">
        <v>1035</v>
      </c>
      <c r="B1003" s="3">
        <v>45726</v>
      </c>
      <c r="C1003" s="2" t="s">
        <v>724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>
        <v>62.6</v>
      </c>
    </row>
    <row r="1004" spans="1:16">
      <c r="A1004" s="2" t="s">
        <v>1036</v>
      </c>
      <c r="B1004" s="3">
        <v>45756</v>
      </c>
      <c r="C1004" s="2" t="s">
        <v>724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>
        <v>100</v>
      </c>
    </row>
    <row r="1005" spans="1:16">
      <c r="A1005" s="2" t="s">
        <v>1037</v>
      </c>
      <c r="B1005" s="3">
        <v>45701</v>
      </c>
      <c r="C1005" s="2" t="s">
        <v>724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>
        <v>45.9</v>
      </c>
    </row>
    <row r="1006" spans="1:16">
      <c r="A1006" s="2" t="s">
        <v>1038</v>
      </c>
      <c r="B1006" s="3">
        <v>45780</v>
      </c>
      <c r="C1006" s="2" t="s">
        <v>724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>
        <v>80.7</v>
      </c>
    </row>
    <row r="1007" spans="1:16">
      <c r="A1007" s="2" t="s">
        <v>1039</v>
      </c>
      <c r="B1007" s="3">
        <v>45763</v>
      </c>
      <c r="C1007" s="2" t="s">
        <v>724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>
        <v>51.9</v>
      </c>
    </row>
    <row r="1008" spans="1:16">
      <c r="A1008" s="2" t="s">
        <v>1040</v>
      </c>
      <c r="B1008" s="3">
        <v>45777</v>
      </c>
      <c r="C1008" s="2" t="s">
        <v>724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>
        <v>68.900000000000006</v>
      </c>
    </row>
    <row r="1009" spans="1:16">
      <c r="A1009" s="2" t="s">
        <v>1041</v>
      </c>
      <c r="B1009" s="3">
        <v>45706</v>
      </c>
      <c r="C1009" s="2" t="s">
        <v>724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>
        <v>66</v>
      </c>
    </row>
    <row r="1010" spans="1:16">
      <c r="A1010" s="2" t="s">
        <v>1042</v>
      </c>
      <c r="B1010" s="3">
        <v>45799</v>
      </c>
      <c r="C1010" s="2" t="s">
        <v>724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>
        <v>63.1</v>
      </c>
    </row>
    <row r="1011" spans="1:16">
      <c r="A1011" s="2" t="s">
        <v>1043</v>
      </c>
      <c r="B1011" s="3">
        <v>45798</v>
      </c>
      <c r="C1011" s="2" t="s">
        <v>724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>
        <v>56</v>
      </c>
    </row>
    <row r="1012" spans="1:16">
      <c r="A1012" s="2" t="s">
        <v>1044</v>
      </c>
      <c r="B1012" s="3">
        <v>45757</v>
      </c>
      <c r="C1012" s="2" t="s">
        <v>724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>
        <v>65.7</v>
      </c>
    </row>
    <row r="1013" spans="1:16">
      <c r="A1013" s="2" t="s">
        <v>1045</v>
      </c>
      <c r="B1013" s="3">
        <v>45664</v>
      </c>
      <c r="C1013" s="2" t="s">
        <v>724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>
        <v>60.9</v>
      </c>
    </row>
    <row r="1014" spans="1:16">
      <c r="A1014" s="2" t="s">
        <v>1046</v>
      </c>
      <c r="B1014" s="3">
        <v>45691</v>
      </c>
      <c r="C1014" s="2" t="s">
        <v>724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>
        <v>45.5</v>
      </c>
    </row>
    <row r="1015" spans="1:16">
      <c r="A1015" s="2" t="s">
        <v>1047</v>
      </c>
      <c r="B1015" s="3">
        <v>45795</v>
      </c>
      <c r="C1015" s="2" t="s">
        <v>724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>
        <v>50</v>
      </c>
    </row>
    <row r="1016" spans="1:16">
      <c r="A1016" s="2" t="s">
        <v>1048</v>
      </c>
      <c r="B1016" s="3">
        <v>45688</v>
      </c>
      <c r="C1016" s="2" t="s">
        <v>724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>
        <v>72.099999999999994</v>
      </c>
    </row>
    <row r="1017" spans="1:16">
      <c r="A1017" s="2" t="s">
        <v>1049</v>
      </c>
      <c r="B1017" s="3">
        <v>45673</v>
      </c>
      <c r="C1017" s="2" t="s">
        <v>724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>
        <v>76.3</v>
      </c>
    </row>
    <row r="1018" spans="1:16">
      <c r="A1018" s="2" t="s">
        <v>1050</v>
      </c>
      <c r="B1018" s="3">
        <v>45791</v>
      </c>
      <c r="C1018" s="2" t="s">
        <v>724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>
        <v>54.8</v>
      </c>
    </row>
    <row r="1019" spans="1:16">
      <c r="A1019" s="2" t="s">
        <v>1051</v>
      </c>
      <c r="B1019" s="3">
        <v>45748</v>
      </c>
      <c r="C1019" s="2" t="s">
        <v>724</v>
      </c>
      <c r="D1019" s="2" t="s">
        <v>32</v>
      </c>
      <c r="E1019" s="2" t="s">
        <v>24</v>
      </c>
      <c r="F1019" s="2" t="s">
        <v>156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>
        <v>63.6</v>
      </c>
    </row>
    <row r="1020" spans="1:16">
      <c r="A1020" s="2" t="s">
        <v>1052</v>
      </c>
      <c r="B1020" s="3">
        <v>45770</v>
      </c>
      <c r="C1020" s="2" t="s">
        <v>724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>
        <v>68.8</v>
      </c>
    </row>
    <row r="1021" spans="1:16">
      <c r="A1021" s="2" t="s">
        <v>1053</v>
      </c>
      <c r="B1021" s="3">
        <v>45718</v>
      </c>
      <c r="C1021" s="2" t="s">
        <v>724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>
        <v>63.2</v>
      </c>
    </row>
    <row r="1022" spans="1:16">
      <c r="A1022" s="2" t="s">
        <v>1054</v>
      </c>
      <c r="B1022" s="3">
        <v>45659</v>
      </c>
      <c r="C1022" s="2" t="s">
        <v>724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>
        <v>45</v>
      </c>
    </row>
    <row r="1023" spans="1:16">
      <c r="A1023" s="2" t="s">
        <v>1055</v>
      </c>
      <c r="B1023" s="3">
        <v>45781</v>
      </c>
      <c r="C1023" s="2" t="s">
        <v>724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>
        <v>77.400000000000006</v>
      </c>
    </row>
    <row r="1024" spans="1:16">
      <c r="A1024" s="2" t="s">
        <v>1056</v>
      </c>
      <c r="B1024" s="3">
        <v>45673</v>
      </c>
      <c r="C1024" s="2" t="s">
        <v>724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>
        <v>53.1</v>
      </c>
    </row>
    <row r="1025" spans="1:16">
      <c r="A1025" s="2" t="s">
        <v>1057</v>
      </c>
      <c r="B1025" s="3">
        <v>45699</v>
      </c>
      <c r="C1025" s="2" t="s">
        <v>724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>
        <v>74</v>
      </c>
    </row>
    <row r="1026" spans="1:16">
      <c r="A1026" s="2" t="s">
        <v>1058</v>
      </c>
      <c r="B1026" s="3">
        <v>45750</v>
      </c>
      <c r="C1026" s="2" t="s">
        <v>724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>
        <v>84.6</v>
      </c>
    </row>
    <row r="1027" spans="1:16">
      <c r="A1027" s="2" t="s">
        <v>1059</v>
      </c>
      <c r="B1027" s="3">
        <v>45742</v>
      </c>
      <c r="C1027" s="2" t="s">
        <v>724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>
        <v>57</v>
      </c>
    </row>
    <row r="1028" spans="1:16">
      <c r="A1028" s="2" t="s">
        <v>1060</v>
      </c>
      <c r="B1028" s="3">
        <v>45793</v>
      </c>
      <c r="C1028" s="2" t="s">
        <v>724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>
        <v>46.3</v>
      </c>
    </row>
    <row r="1029" spans="1:16">
      <c r="A1029" s="2" t="s">
        <v>1061</v>
      </c>
      <c r="B1029" s="3">
        <v>45767</v>
      </c>
      <c r="C1029" s="2" t="s">
        <v>724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>
        <v>64.400000000000006</v>
      </c>
    </row>
    <row r="1030" spans="1:16">
      <c r="A1030" s="2" t="s">
        <v>1062</v>
      </c>
      <c r="B1030" s="3">
        <v>45762</v>
      </c>
      <c r="C1030" s="2" t="s">
        <v>724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>
        <v>61.9</v>
      </c>
    </row>
    <row r="1031" spans="1:16">
      <c r="A1031" s="2" t="s">
        <v>1063</v>
      </c>
      <c r="B1031" s="3">
        <v>45681</v>
      </c>
      <c r="C1031" s="2" t="s">
        <v>724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>
        <v>93.7</v>
      </c>
    </row>
    <row r="1032" spans="1:16">
      <c r="A1032" s="2" t="s">
        <v>1064</v>
      </c>
      <c r="B1032" s="3">
        <v>45758</v>
      </c>
      <c r="C1032" s="2" t="s">
        <v>724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>
        <v>61.6</v>
      </c>
    </row>
    <row r="1033" spans="1:16">
      <c r="A1033" s="2" t="s">
        <v>1065</v>
      </c>
      <c r="B1033" s="3">
        <v>45796</v>
      </c>
      <c r="C1033" s="2" t="s">
        <v>724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>
        <v>72.2</v>
      </c>
    </row>
    <row r="1034" spans="1:16">
      <c r="A1034" s="2" t="s">
        <v>1066</v>
      </c>
      <c r="B1034" s="3">
        <v>45671</v>
      </c>
      <c r="C1034" s="2" t="s">
        <v>724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>
        <v>69.5</v>
      </c>
    </row>
    <row r="1035" spans="1:16">
      <c r="A1035" s="2" t="s">
        <v>1067</v>
      </c>
      <c r="B1035" s="3">
        <v>45716</v>
      </c>
      <c r="C1035" s="2" t="s">
        <v>724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>
        <v>59.7</v>
      </c>
    </row>
    <row r="1036" spans="1:16">
      <c r="A1036" s="2" t="s">
        <v>1068</v>
      </c>
      <c r="B1036" s="3">
        <v>45795</v>
      </c>
      <c r="C1036" s="2" t="s">
        <v>724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>
        <v>73.900000000000006</v>
      </c>
    </row>
    <row r="1037" spans="1:16">
      <c r="A1037" s="2" t="s">
        <v>1069</v>
      </c>
      <c r="B1037" s="3">
        <v>45661</v>
      </c>
      <c r="C1037" s="2" t="s">
        <v>724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>
        <v>41.5</v>
      </c>
    </row>
    <row r="1038" spans="1:16">
      <c r="A1038" s="2" t="s">
        <v>1070</v>
      </c>
      <c r="B1038" s="3">
        <v>45673</v>
      </c>
      <c r="C1038" s="2" t="s">
        <v>724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>
        <v>82.8</v>
      </c>
    </row>
    <row r="1039" spans="1:16">
      <c r="A1039" s="2" t="s">
        <v>1071</v>
      </c>
      <c r="B1039" s="3">
        <v>45730</v>
      </c>
      <c r="C1039" s="2" t="s">
        <v>724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>
        <v>70.2</v>
      </c>
    </row>
    <row r="1040" spans="1:16">
      <c r="A1040" s="2" t="s">
        <v>1072</v>
      </c>
      <c r="B1040" s="3">
        <v>45680</v>
      </c>
      <c r="C1040" s="2" t="s">
        <v>724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>
        <v>69.400000000000006</v>
      </c>
    </row>
    <row r="1041" spans="1:16">
      <c r="A1041" s="2" t="s">
        <v>1073</v>
      </c>
      <c r="B1041" s="3">
        <v>45691</v>
      </c>
      <c r="C1041" s="2" t="s">
        <v>724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>
        <v>60.4</v>
      </c>
    </row>
    <row r="1042" spans="1:16">
      <c r="A1042" s="2" t="s">
        <v>1074</v>
      </c>
      <c r="B1042" s="3">
        <v>45793</v>
      </c>
      <c r="C1042" s="2" t="s">
        <v>724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>
        <v>45.7</v>
      </c>
    </row>
    <row r="1043" spans="1:16">
      <c r="A1043" s="2" t="s">
        <v>1075</v>
      </c>
      <c r="B1043" s="3">
        <v>45668</v>
      </c>
      <c r="C1043" s="2" t="s">
        <v>724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>
        <v>42.2</v>
      </c>
    </row>
    <row r="1044" spans="1:16">
      <c r="A1044" s="2" t="s">
        <v>1076</v>
      </c>
      <c r="B1044" s="3">
        <v>45802</v>
      </c>
      <c r="C1044" s="2" t="s">
        <v>724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>
        <v>61.9</v>
      </c>
    </row>
    <row r="1045" spans="1:16">
      <c r="A1045" s="2" t="s">
        <v>1077</v>
      </c>
      <c r="B1045" s="3">
        <v>45785</v>
      </c>
      <c r="C1045" s="2" t="s">
        <v>724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>
        <v>44.9</v>
      </c>
    </row>
    <row r="1046" spans="1:16">
      <c r="A1046" s="2" t="s">
        <v>1078</v>
      </c>
      <c r="B1046" s="3">
        <v>45714</v>
      </c>
      <c r="C1046" s="2" t="s">
        <v>724</v>
      </c>
      <c r="D1046" s="2" t="s">
        <v>28</v>
      </c>
      <c r="E1046" s="2" t="s">
        <v>19</v>
      </c>
      <c r="F1046" s="2" t="s">
        <v>156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>
        <v>68</v>
      </c>
    </row>
    <row r="1047" spans="1:16">
      <c r="A1047" s="2" t="s">
        <v>1079</v>
      </c>
      <c r="B1047" s="3">
        <v>45746</v>
      </c>
      <c r="C1047" s="2" t="s">
        <v>724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>
        <v>61</v>
      </c>
    </row>
    <row r="1048" spans="1:16">
      <c r="A1048" s="2" t="s">
        <v>1080</v>
      </c>
      <c r="B1048" s="3">
        <v>45760</v>
      </c>
      <c r="C1048" s="2" t="s">
        <v>724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>
        <v>55</v>
      </c>
    </row>
    <row r="1049" spans="1:16">
      <c r="A1049" s="2" t="s">
        <v>1081</v>
      </c>
      <c r="B1049" s="3">
        <v>45708</v>
      </c>
      <c r="C1049" s="2" t="s">
        <v>724</v>
      </c>
      <c r="D1049" s="2" t="s">
        <v>28</v>
      </c>
      <c r="E1049" s="2" t="s">
        <v>156</v>
      </c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>
        <v>63.1</v>
      </c>
    </row>
    <row r="1050" spans="1:16">
      <c r="A1050" s="2" t="s">
        <v>1082</v>
      </c>
      <c r="B1050" s="3">
        <v>45766</v>
      </c>
      <c r="C1050" s="2" t="s">
        <v>724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>
        <v>75.8</v>
      </c>
    </row>
    <row r="1051" spans="1:16">
      <c r="A1051" s="2" t="s">
        <v>1083</v>
      </c>
      <c r="B1051" s="3">
        <v>45738</v>
      </c>
      <c r="C1051" s="2" t="s">
        <v>724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>
        <v>43.8</v>
      </c>
    </row>
    <row r="1052" spans="1:16">
      <c r="A1052" s="2" t="s">
        <v>1084</v>
      </c>
      <c r="B1052" s="3">
        <v>45716</v>
      </c>
      <c r="C1052" s="2" t="s">
        <v>724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>
        <v>46.8</v>
      </c>
    </row>
    <row r="1053" spans="1:16">
      <c r="A1053" s="2" t="s">
        <v>1085</v>
      </c>
      <c r="B1053" s="3">
        <v>45801</v>
      </c>
      <c r="C1053" s="2" t="s">
        <v>724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>
        <v>97.4</v>
      </c>
    </row>
    <row r="1054" spans="1:16">
      <c r="A1054" s="2" t="s">
        <v>1086</v>
      </c>
      <c r="B1054" s="3">
        <v>45691</v>
      </c>
      <c r="C1054" s="2" t="s">
        <v>724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>
        <v>81</v>
      </c>
    </row>
    <row r="1055" spans="1:16">
      <c r="A1055" s="2" t="s">
        <v>1087</v>
      </c>
      <c r="B1055" s="3">
        <v>45684</v>
      </c>
      <c r="C1055" s="2" t="s">
        <v>724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>
        <v>58.9</v>
      </c>
    </row>
    <row r="1056" spans="1:16">
      <c r="A1056" s="2" t="s">
        <v>1088</v>
      </c>
      <c r="B1056" s="3">
        <v>45764</v>
      </c>
      <c r="C1056" s="2" t="s">
        <v>724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>
        <v>51.9</v>
      </c>
    </row>
    <row r="1057" spans="1:16">
      <c r="A1057" s="2" t="s">
        <v>1089</v>
      </c>
      <c r="B1057" s="3">
        <v>45694</v>
      </c>
      <c r="C1057" s="2" t="s">
        <v>724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>
        <v>61.7</v>
      </c>
    </row>
    <row r="1058" spans="1:16">
      <c r="A1058" s="2" t="s">
        <v>1090</v>
      </c>
      <c r="B1058" s="3">
        <v>45767</v>
      </c>
      <c r="C1058" s="2" t="s">
        <v>724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>
        <v>44.7</v>
      </c>
    </row>
    <row r="1059" spans="1:16">
      <c r="A1059" s="2" t="s">
        <v>1091</v>
      </c>
      <c r="B1059" s="3">
        <v>45783</v>
      </c>
      <c r="C1059" s="2" t="s">
        <v>724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>
        <v>63.2</v>
      </c>
    </row>
    <row r="1060" spans="1:16">
      <c r="A1060" s="2" t="s">
        <v>1092</v>
      </c>
      <c r="B1060" s="3">
        <v>45793</v>
      </c>
      <c r="C1060" s="2" t="s">
        <v>724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>
        <v>70.3</v>
      </c>
    </row>
    <row r="1061" spans="1:16">
      <c r="A1061" s="2" t="s">
        <v>1093</v>
      </c>
      <c r="B1061" s="3">
        <v>45718</v>
      </c>
      <c r="C1061" s="2" t="s">
        <v>724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>
        <v>83.1</v>
      </c>
    </row>
    <row r="1062" spans="1:16">
      <c r="A1062" s="2" t="s">
        <v>1094</v>
      </c>
      <c r="B1062" s="3">
        <v>45756</v>
      </c>
      <c r="C1062" s="2" t="s">
        <v>724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>
        <v>50.3</v>
      </c>
    </row>
    <row r="1063" spans="1:16">
      <c r="A1063" s="2" t="s">
        <v>1095</v>
      </c>
      <c r="B1063" s="3">
        <v>45683</v>
      </c>
      <c r="C1063" s="2" t="s">
        <v>724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>
        <v>58.2</v>
      </c>
    </row>
    <row r="1064" spans="1:16">
      <c r="A1064" s="2" t="s">
        <v>1096</v>
      </c>
      <c r="B1064" s="3">
        <v>45713</v>
      </c>
      <c r="C1064" s="2" t="s">
        <v>724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>
        <v>53.2</v>
      </c>
    </row>
    <row r="1065" spans="1:16">
      <c r="A1065" s="2" t="s">
        <v>1097</v>
      </c>
      <c r="B1065" s="3">
        <v>45664</v>
      </c>
      <c r="C1065" s="2" t="s">
        <v>724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>
        <v>36.4</v>
      </c>
    </row>
    <row r="1066" spans="1:16">
      <c r="A1066" s="2" t="s">
        <v>1098</v>
      </c>
      <c r="B1066" s="3">
        <v>45724</v>
      </c>
      <c r="C1066" s="2" t="s">
        <v>724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>
        <v>72.7</v>
      </c>
    </row>
    <row r="1067" spans="1:16">
      <c r="A1067" s="2" t="s">
        <v>1099</v>
      </c>
      <c r="B1067" s="3">
        <v>45799</v>
      </c>
      <c r="C1067" s="2" t="s">
        <v>724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>
        <v>86.7</v>
      </c>
    </row>
    <row r="1068" spans="1:16">
      <c r="A1068" s="2" t="s">
        <v>1100</v>
      </c>
      <c r="B1068" s="3">
        <v>45765</v>
      </c>
      <c r="C1068" s="2" t="s">
        <v>724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>
        <v>48.2</v>
      </c>
    </row>
    <row r="1069" spans="1:16">
      <c r="A1069" s="2" t="s">
        <v>1101</v>
      </c>
      <c r="B1069" s="3">
        <v>45712</v>
      </c>
      <c r="C1069" s="2" t="s">
        <v>724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>
        <v>57.6</v>
      </c>
    </row>
    <row r="1070" spans="1:16">
      <c r="A1070" s="2" t="s">
        <v>1102</v>
      </c>
      <c r="B1070" s="3">
        <v>45699</v>
      </c>
      <c r="C1070" s="2" t="s">
        <v>724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>
        <v>75.7</v>
      </c>
    </row>
    <row r="1071" spans="1:16">
      <c r="A1071" s="2" t="s">
        <v>1103</v>
      </c>
      <c r="B1071" s="3">
        <v>45727</v>
      </c>
      <c r="C1071" s="2" t="s">
        <v>724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>
        <v>48.6</v>
      </c>
    </row>
    <row r="1072" spans="1:16">
      <c r="A1072" s="2" t="s">
        <v>1104</v>
      </c>
      <c r="B1072" s="3">
        <v>45758</v>
      </c>
      <c r="C1072" s="2" t="s">
        <v>724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>
        <v>72</v>
      </c>
    </row>
    <row r="1073" spans="1:16">
      <c r="A1073" s="2" t="s">
        <v>1105</v>
      </c>
      <c r="B1073" s="3">
        <v>45727</v>
      </c>
      <c r="C1073" s="2" t="s">
        <v>724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>
        <v>72.2</v>
      </c>
    </row>
    <row r="1074" spans="1:16">
      <c r="A1074" s="2" t="s">
        <v>1106</v>
      </c>
      <c r="B1074" s="3">
        <v>45799</v>
      </c>
      <c r="C1074" s="2" t="s">
        <v>724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>
        <v>59.9</v>
      </c>
    </row>
    <row r="1075" spans="1:16">
      <c r="A1075" s="2" t="s">
        <v>1107</v>
      </c>
      <c r="B1075" s="3">
        <v>45710</v>
      </c>
      <c r="C1075" s="2" t="s">
        <v>724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>
        <v>56.8</v>
      </c>
    </row>
    <row r="1076" spans="1:16">
      <c r="A1076" s="2" t="s">
        <v>1108</v>
      </c>
      <c r="B1076" s="3">
        <v>45670</v>
      </c>
      <c r="C1076" s="2" t="s">
        <v>724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>
        <v>62.5</v>
      </c>
    </row>
    <row r="1077" spans="1:16">
      <c r="A1077" s="2" t="s">
        <v>1109</v>
      </c>
      <c r="B1077" s="3">
        <v>45796</v>
      </c>
      <c r="C1077" s="2" t="s">
        <v>724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>
        <v>63.4</v>
      </c>
    </row>
    <row r="1078" spans="1:16">
      <c r="A1078" s="2" t="s">
        <v>1110</v>
      </c>
      <c r="B1078" s="3">
        <v>45724</v>
      </c>
      <c r="C1078" s="2" t="s">
        <v>724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>
        <v>46.8</v>
      </c>
    </row>
    <row r="1079" spans="1:16">
      <c r="A1079" s="2" t="s">
        <v>1111</v>
      </c>
      <c r="B1079" s="3">
        <v>45767</v>
      </c>
      <c r="C1079" s="2" t="s">
        <v>724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>
        <v>86.5</v>
      </c>
    </row>
    <row r="1080" spans="1:16">
      <c r="A1080" s="2" t="s">
        <v>1112</v>
      </c>
      <c r="B1080" s="3">
        <v>45785</v>
      </c>
      <c r="C1080" s="2" t="s">
        <v>724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>
        <v>75.099999999999994</v>
      </c>
    </row>
    <row r="1081" spans="1:16">
      <c r="A1081" s="2" t="s">
        <v>1113</v>
      </c>
      <c r="B1081" s="3">
        <v>45787</v>
      </c>
      <c r="C1081" s="2" t="s">
        <v>724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>
        <v>64.5</v>
      </c>
    </row>
    <row r="1082" spans="1:16">
      <c r="A1082" s="2" t="s">
        <v>1114</v>
      </c>
      <c r="B1082" s="3">
        <v>45744</v>
      </c>
      <c r="C1082" s="2" t="s">
        <v>724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>
        <v>54.2</v>
      </c>
    </row>
    <row r="1083" spans="1:16">
      <c r="A1083" s="2" t="s">
        <v>1115</v>
      </c>
      <c r="B1083" s="3">
        <v>45777</v>
      </c>
      <c r="C1083" s="2" t="s">
        <v>724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>
        <v>84.1</v>
      </c>
    </row>
    <row r="1084" spans="1:16">
      <c r="A1084" s="2" t="s">
        <v>1116</v>
      </c>
      <c r="B1084" s="3">
        <v>45696</v>
      </c>
      <c r="C1084" s="2" t="s">
        <v>724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>
        <v>49.1</v>
      </c>
    </row>
    <row r="1085" spans="1:16">
      <c r="A1085" s="2" t="s">
        <v>1117</v>
      </c>
      <c r="B1085" s="3">
        <v>45723</v>
      </c>
      <c r="C1085" s="2" t="s">
        <v>724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>
        <v>92.7</v>
      </c>
    </row>
    <row r="1086" spans="1:16">
      <c r="A1086" s="2" t="s">
        <v>1118</v>
      </c>
      <c r="B1086" s="3">
        <v>45798</v>
      </c>
      <c r="C1086" s="2" t="s">
        <v>724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>
        <v>58.7</v>
      </c>
    </row>
    <row r="1087" spans="1:16">
      <c r="A1087" s="2" t="s">
        <v>1119</v>
      </c>
      <c r="B1087" s="3">
        <v>45759</v>
      </c>
      <c r="C1087" s="2" t="s">
        <v>724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>
        <v>59.3</v>
      </c>
    </row>
    <row r="1088" spans="1:16">
      <c r="A1088" s="2" t="s">
        <v>1120</v>
      </c>
      <c r="B1088" s="3">
        <v>45690</v>
      </c>
      <c r="C1088" s="2" t="s">
        <v>724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>
        <v>62</v>
      </c>
    </row>
    <row r="1089" spans="1:16">
      <c r="A1089" s="2" t="s">
        <v>1121</v>
      </c>
      <c r="B1089" s="3">
        <v>45769</v>
      </c>
      <c r="C1089" s="2" t="s">
        <v>724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>
        <v>60.3</v>
      </c>
    </row>
    <row r="1090" spans="1:16">
      <c r="A1090" s="2" t="s">
        <v>1122</v>
      </c>
      <c r="B1090" s="3">
        <v>45696</v>
      </c>
      <c r="C1090" s="2" t="s">
        <v>724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>
        <v>70.5</v>
      </c>
    </row>
    <row r="1091" spans="1:16">
      <c r="A1091" s="2" t="s">
        <v>1123</v>
      </c>
      <c r="B1091" s="3">
        <v>45681</v>
      </c>
      <c r="C1091" s="2" t="s">
        <v>724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>
        <v>36.799999999999997</v>
      </c>
    </row>
    <row r="1092" spans="1:16">
      <c r="A1092" s="2" t="s">
        <v>1124</v>
      </c>
      <c r="B1092" s="3">
        <v>45789</v>
      </c>
      <c r="C1092" s="2" t="s">
        <v>724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>
        <v>73.2</v>
      </c>
    </row>
    <row r="1093" spans="1:16">
      <c r="A1093" s="2" t="s">
        <v>1125</v>
      </c>
      <c r="B1093" s="3">
        <v>45746</v>
      </c>
      <c r="C1093" s="2" t="s">
        <v>724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>
        <v>70.099999999999994</v>
      </c>
    </row>
    <row r="1094" spans="1:16">
      <c r="A1094" s="2" t="s">
        <v>1126</v>
      </c>
      <c r="B1094" s="3">
        <v>45659</v>
      </c>
      <c r="C1094" s="2" t="s">
        <v>724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>
        <v>76.400000000000006</v>
      </c>
    </row>
    <row r="1095" spans="1:16">
      <c r="A1095" s="2" t="s">
        <v>1127</v>
      </c>
      <c r="B1095" s="3">
        <v>45737</v>
      </c>
      <c r="C1095" s="2" t="s">
        <v>724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>
        <v>46.4</v>
      </c>
    </row>
    <row r="1096" spans="1:16">
      <c r="A1096" s="2" t="s">
        <v>1128</v>
      </c>
      <c r="B1096" s="3">
        <v>45682</v>
      </c>
      <c r="C1096" s="2" t="s">
        <v>724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>
        <v>81.3</v>
      </c>
    </row>
    <row r="1097" spans="1:16">
      <c r="A1097" s="2" t="s">
        <v>1129</v>
      </c>
      <c r="B1097" s="3">
        <v>45669</v>
      </c>
      <c r="C1097" s="2" t="s">
        <v>724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>
        <v>55.3</v>
      </c>
    </row>
    <row r="1098" spans="1:16">
      <c r="A1098" s="2" t="s">
        <v>1130</v>
      </c>
      <c r="B1098" s="3">
        <v>45734</v>
      </c>
      <c r="C1098" s="2" t="s">
        <v>724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>
        <v>44.7</v>
      </c>
    </row>
    <row r="1099" spans="1:16">
      <c r="A1099" s="2" t="s">
        <v>1131</v>
      </c>
      <c r="B1099" s="3">
        <v>45742</v>
      </c>
      <c r="C1099" s="2" t="s">
        <v>724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>
        <v>67.2</v>
      </c>
    </row>
    <row r="1100" spans="1:16">
      <c r="A1100" s="2" t="s">
        <v>1132</v>
      </c>
      <c r="B1100" s="3">
        <v>45766</v>
      </c>
      <c r="C1100" s="2" t="s">
        <v>724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>
        <v>59.9</v>
      </c>
    </row>
    <row r="1101" spans="1:16">
      <c r="A1101" s="2" t="s">
        <v>1133</v>
      </c>
      <c r="B1101" s="3">
        <v>45764</v>
      </c>
      <c r="C1101" s="2" t="s">
        <v>724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>
        <v>70.8</v>
      </c>
    </row>
    <row r="1102" spans="1:16">
      <c r="A1102" s="2" t="s">
        <v>1134</v>
      </c>
      <c r="B1102" s="3">
        <v>45803</v>
      </c>
      <c r="C1102" s="2" t="s">
        <v>724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>
        <v>71.3</v>
      </c>
    </row>
    <row r="1103" spans="1:16">
      <c r="A1103" s="2" t="s">
        <v>1135</v>
      </c>
      <c r="B1103" s="3">
        <v>45761</v>
      </c>
      <c r="C1103" s="2" t="s">
        <v>724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>
        <v>69.400000000000006</v>
      </c>
    </row>
    <row r="1104" spans="1:16">
      <c r="A1104" s="2" t="s">
        <v>1136</v>
      </c>
      <c r="B1104" s="3">
        <v>45680</v>
      </c>
      <c r="C1104" s="2" t="s">
        <v>724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>
        <v>58.9</v>
      </c>
    </row>
    <row r="1105" spans="1:16">
      <c r="A1105" s="2" t="s">
        <v>1137</v>
      </c>
      <c r="B1105" s="3">
        <v>45663</v>
      </c>
      <c r="C1105" s="2" t="s">
        <v>724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>
        <v>70.7</v>
      </c>
    </row>
    <row r="1106" spans="1:16">
      <c r="A1106" s="2" t="s">
        <v>1138</v>
      </c>
      <c r="B1106" s="3">
        <v>45808</v>
      </c>
      <c r="C1106" s="2" t="s">
        <v>724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>
        <v>60.5</v>
      </c>
    </row>
    <row r="1107" spans="1:16">
      <c r="A1107" s="2" t="s">
        <v>1139</v>
      </c>
      <c r="B1107" s="3">
        <v>45796</v>
      </c>
      <c r="C1107" s="2" t="s">
        <v>724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>
        <v>77.3</v>
      </c>
    </row>
    <row r="1108" spans="1:16">
      <c r="A1108" s="2" t="s">
        <v>1140</v>
      </c>
      <c r="B1108" s="3">
        <v>45713</v>
      </c>
      <c r="C1108" s="2" t="s">
        <v>724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>
        <v>39.5</v>
      </c>
    </row>
    <row r="1109" spans="1:16">
      <c r="A1109" s="2" t="s">
        <v>1141</v>
      </c>
      <c r="B1109" s="3">
        <v>45667</v>
      </c>
      <c r="C1109" s="2" t="s">
        <v>724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>
        <v>68.099999999999994</v>
      </c>
    </row>
    <row r="1110" spans="1:16">
      <c r="A1110" s="2" t="s">
        <v>1142</v>
      </c>
      <c r="B1110" s="3">
        <v>45790</v>
      </c>
      <c r="C1110" s="2" t="s">
        <v>724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>
        <v>80.3</v>
      </c>
    </row>
    <row r="1111" spans="1:16">
      <c r="A1111" s="2" t="s">
        <v>1143</v>
      </c>
      <c r="B1111" s="3">
        <v>45774</v>
      </c>
      <c r="C1111" s="2" t="s">
        <v>724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>
        <v>77.7</v>
      </c>
    </row>
    <row r="1112" spans="1:16">
      <c r="A1112" s="2" t="s">
        <v>1144</v>
      </c>
      <c r="B1112" s="3">
        <v>45750</v>
      </c>
      <c r="C1112" s="2" t="s">
        <v>724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>
        <v>66.2</v>
      </c>
    </row>
    <row r="1113" spans="1:16">
      <c r="A1113" s="2" t="s">
        <v>1145</v>
      </c>
      <c r="B1113" s="3">
        <v>45742</v>
      </c>
      <c r="C1113" s="2" t="s">
        <v>724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>
        <v>43.9</v>
      </c>
    </row>
    <row r="1114" spans="1:16">
      <c r="A1114" s="2" t="s">
        <v>1146</v>
      </c>
      <c r="B1114" s="3">
        <v>45688</v>
      </c>
      <c r="C1114" s="2" t="s">
        <v>724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>
        <v>59.1</v>
      </c>
    </row>
    <row r="1115" spans="1:16">
      <c r="A1115" s="2" t="s">
        <v>1147</v>
      </c>
      <c r="B1115" s="3">
        <v>45682</v>
      </c>
      <c r="C1115" s="2" t="s">
        <v>724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>
        <v>67</v>
      </c>
    </row>
    <row r="1116" spans="1:16">
      <c r="A1116" s="2" t="s">
        <v>1148</v>
      </c>
      <c r="B1116" s="3">
        <v>45694</v>
      </c>
      <c r="C1116" s="2" t="s">
        <v>724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>
        <v>47.9</v>
      </c>
    </row>
    <row r="1117" spans="1:16">
      <c r="A1117" s="2" t="s">
        <v>1149</v>
      </c>
      <c r="B1117" s="3">
        <v>45726</v>
      </c>
      <c r="C1117" s="2" t="s">
        <v>724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>
        <v>41.5</v>
      </c>
    </row>
    <row r="1118" spans="1:16">
      <c r="A1118" s="2" t="s">
        <v>1150</v>
      </c>
      <c r="B1118" s="3">
        <v>45683</v>
      </c>
      <c r="C1118" s="2" t="s">
        <v>724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>
        <v>30.6</v>
      </c>
    </row>
    <row r="1119" spans="1:16">
      <c r="A1119" s="2" t="s">
        <v>1151</v>
      </c>
      <c r="B1119" s="3">
        <v>45658</v>
      </c>
      <c r="C1119" s="2" t="s">
        <v>724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>
        <v>91.5</v>
      </c>
    </row>
    <row r="1120" spans="1:16">
      <c r="A1120" s="2" t="s">
        <v>1152</v>
      </c>
      <c r="B1120" s="3">
        <v>45775</v>
      </c>
      <c r="C1120" s="2" t="s">
        <v>724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>
        <v>80.8</v>
      </c>
    </row>
    <row r="1121" spans="1:16">
      <c r="A1121" s="2" t="s">
        <v>1153</v>
      </c>
      <c r="B1121" s="3">
        <v>45751</v>
      </c>
      <c r="C1121" s="2" t="s">
        <v>724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>
        <v>68.099999999999994</v>
      </c>
    </row>
    <row r="1122" spans="1:16">
      <c r="A1122" s="2" t="s">
        <v>1154</v>
      </c>
      <c r="B1122" s="3">
        <v>45718</v>
      </c>
      <c r="C1122" s="2" t="s">
        <v>724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>
        <v>80.3</v>
      </c>
    </row>
    <row r="1123" spans="1:16">
      <c r="A1123" s="2" t="s">
        <v>1155</v>
      </c>
      <c r="B1123" s="3">
        <v>45735</v>
      </c>
      <c r="C1123" s="2" t="s">
        <v>724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>
        <v>44.4</v>
      </c>
    </row>
    <row r="1124" spans="1:16">
      <c r="A1124" s="2" t="s">
        <v>1156</v>
      </c>
      <c r="B1124" s="3">
        <v>45677</v>
      </c>
      <c r="C1124" s="2" t="s">
        <v>724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>
        <v>51.9</v>
      </c>
    </row>
    <row r="1125" spans="1:16">
      <c r="A1125" s="2" t="s">
        <v>1157</v>
      </c>
      <c r="B1125" s="3">
        <v>45750</v>
      </c>
      <c r="C1125" s="2" t="s">
        <v>724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>
        <v>49.8</v>
      </c>
    </row>
    <row r="1126" spans="1:16">
      <c r="A1126" s="2" t="s">
        <v>1158</v>
      </c>
      <c r="B1126" s="3">
        <v>45668</v>
      </c>
      <c r="C1126" s="2" t="s">
        <v>724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>
        <v>62.1</v>
      </c>
    </row>
    <row r="1127" spans="1:16">
      <c r="A1127" s="2" t="s">
        <v>1159</v>
      </c>
      <c r="B1127" s="3">
        <v>45690</v>
      </c>
      <c r="C1127" s="2" t="s">
        <v>724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>
        <v>91.3</v>
      </c>
    </row>
    <row r="1128" spans="1:16">
      <c r="A1128" s="2" t="s">
        <v>1160</v>
      </c>
      <c r="B1128" s="3">
        <v>45748</v>
      </c>
      <c r="C1128" s="2" t="s">
        <v>724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>
        <v>66.400000000000006</v>
      </c>
    </row>
    <row r="1129" spans="1:16">
      <c r="A1129" s="2" t="s">
        <v>1161</v>
      </c>
      <c r="B1129" s="3">
        <v>45799</v>
      </c>
      <c r="C1129" s="2" t="s">
        <v>724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>
        <v>41.5</v>
      </c>
    </row>
    <row r="1130" spans="1:16">
      <c r="A1130" s="2" t="s">
        <v>1162</v>
      </c>
      <c r="B1130" s="3">
        <v>45708</v>
      </c>
      <c r="C1130" s="2" t="s">
        <v>724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>
        <v>77.099999999999994</v>
      </c>
    </row>
    <row r="1131" spans="1:16">
      <c r="A1131" s="2" t="s">
        <v>1163</v>
      </c>
      <c r="B1131" s="3">
        <v>45737</v>
      </c>
      <c r="C1131" s="2" t="s">
        <v>724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>
        <v>63.2</v>
      </c>
    </row>
    <row r="1132" spans="1:16">
      <c r="A1132" s="2" t="s">
        <v>1164</v>
      </c>
      <c r="B1132" s="3">
        <v>45778</v>
      </c>
      <c r="C1132" s="2" t="s">
        <v>724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>
        <v>75.7</v>
      </c>
    </row>
    <row r="1133" spans="1:16">
      <c r="A1133" s="2" t="s">
        <v>1165</v>
      </c>
      <c r="B1133" s="3">
        <v>45663</v>
      </c>
      <c r="C1133" s="2" t="s">
        <v>724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>
        <v>62.9</v>
      </c>
    </row>
    <row r="1134" spans="1:16">
      <c r="A1134" s="2" t="s">
        <v>1166</v>
      </c>
      <c r="B1134" s="3">
        <v>45759</v>
      </c>
      <c r="C1134" s="2" t="s">
        <v>724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>
        <v>64.599999999999994</v>
      </c>
    </row>
    <row r="1135" spans="1:16">
      <c r="A1135" s="2" t="s">
        <v>1167</v>
      </c>
      <c r="B1135" s="3">
        <v>45765</v>
      </c>
      <c r="C1135" s="2" t="s">
        <v>724</v>
      </c>
      <c r="D1135" s="2" t="s">
        <v>18</v>
      </c>
      <c r="E1135" s="2" t="s">
        <v>24</v>
      </c>
      <c r="F1135" s="2" t="s">
        <v>156</v>
      </c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>
        <v>76.599999999999994</v>
      </c>
    </row>
    <row r="1136" spans="1:16">
      <c r="A1136" s="2" t="s">
        <v>1168</v>
      </c>
      <c r="B1136" s="3">
        <v>45740</v>
      </c>
      <c r="C1136" s="2" t="s">
        <v>724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>
        <v>74.8</v>
      </c>
    </row>
    <row r="1137" spans="1:16">
      <c r="A1137" s="2" t="s">
        <v>1169</v>
      </c>
      <c r="B1137" s="3">
        <v>45734</v>
      </c>
      <c r="C1137" s="2" t="s">
        <v>724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>
        <v>38.1</v>
      </c>
    </row>
    <row r="1138" spans="1:16">
      <c r="A1138" s="2" t="s">
        <v>1170</v>
      </c>
      <c r="B1138" s="3">
        <v>45777</v>
      </c>
      <c r="C1138" s="2" t="s">
        <v>724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>
        <v>60.2</v>
      </c>
    </row>
    <row r="1139" spans="1:16">
      <c r="A1139" s="2" t="s">
        <v>1171</v>
      </c>
      <c r="B1139" s="3">
        <v>45682</v>
      </c>
      <c r="C1139" s="2" t="s">
        <v>724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>
        <v>73.5</v>
      </c>
    </row>
    <row r="1140" spans="1:16">
      <c r="A1140" s="2" t="s">
        <v>1172</v>
      </c>
      <c r="B1140" s="3">
        <v>45757</v>
      </c>
      <c r="C1140" s="2" t="s">
        <v>724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>
        <v>70.900000000000006</v>
      </c>
    </row>
    <row r="1141" spans="1:16">
      <c r="A1141" s="2" t="s">
        <v>1173</v>
      </c>
      <c r="B1141" s="3">
        <v>45667</v>
      </c>
      <c r="C1141" s="2" t="s">
        <v>724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>
        <v>63.7</v>
      </c>
    </row>
    <row r="1142" spans="1:16">
      <c r="A1142" s="2" t="s">
        <v>1174</v>
      </c>
      <c r="B1142" s="3">
        <v>45699</v>
      </c>
      <c r="C1142" s="2" t="s">
        <v>724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>
        <v>86.5</v>
      </c>
    </row>
    <row r="1143" spans="1:16">
      <c r="A1143" s="2" t="s">
        <v>1175</v>
      </c>
      <c r="B1143" s="3">
        <v>45778</v>
      </c>
      <c r="C1143" s="2" t="s">
        <v>724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>
        <v>74.599999999999994</v>
      </c>
    </row>
    <row r="1144" spans="1:16">
      <c r="A1144" s="2" t="s">
        <v>1176</v>
      </c>
      <c r="B1144" s="3">
        <v>45675</v>
      </c>
      <c r="C1144" s="2" t="s">
        <v>724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>
        <v>46.6</v>
      </c>
    </row>
    <row r="1145" spans="1:16">
      <c r="A1145" s="2" t="s">
        <v>1177</v>
      </c>
      <c r="B1145" s="3">
        <v>45659</v>
      </c>
      <c r="C1145" s="2" t="s">
        <v>724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>
        <v>61.2</v>
      </c>
    </row>
    <row r="1146" spans="1:16">
      <c r="A1146" s="2" t="s">
        <v>1178</v>
      </c>
      <c r="B1146" s="3">
        <v>45788</v>
      </c>
      <c r="C1146" s="2" t="s">
        <v>724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>
        <v>54.4</v>
      </c>
    </row>
    <row r="1147" spans="1:16">
      <c r="A1147" s="2" t="s">
        <v>1179</v>
      </c>
      <c r="B1147" s="3">
        <v>45738</v>
      </c>
      <c r="C1147" s="2" t="s">
        <v>724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>
        <v>72</v>
      </c>
    </row>
    <row r="1148" spans="1:16">
      <c r="A1148" s="2" t="s">
        <v>1180</v>
      </c>
      <c r="B1148" s="3">
        <v>45779</v>
      </c>
      <c r="C1148" s="2" t="s">
        <v>724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>
        <v>88.6</v>
      </c>
    </row>
    <row r="1149" spans="1:16">
      <c r="A1149" s="2" t="s">
        <v>1181</v>
      </c>
      <c r="B1149" s="3">
        <v>45803</v>
      </c>
      <c r="C1149" s="2" t="s">
        <v>724</v>
      </c>
      <c r="D1149" s="2" t="s">
        <v>28</v>
      </c>
      <c r="E1149" s="2" t="s">
        <v>19</v>
      </c>
      <c r="F1149" s="2" t="s">
        <v>156</v>
      </c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>
        <v>77.599999999999994</v>
      </c>
    </row>
    <row r="1150" spans="1:16">
      <c r="A1150" s="2" t="s">
        <v>1182</v>
      </c>
      <c r="B1150" s="3">
        <v>45729</v>
      </c>
      <c r="C1150" s="2" t="s">
        <v>724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>
        <v>44.3</v>
      </c>
    </row>
    <row r="1151" spans="1:16">
      <c r="A1151" s="2" t="s">
        <v>1183</v>
      </c>
      <c r="B1151" s="3">
        <v>45794</v>
      </c>
      <c r="C1151" s="2" t="s">
        <v>724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>
        <v>49</v>
      </c>
    </row>
    <row r="1152" spans="1:16">
      <c r="A1152" s="2" t="s">
        <v>1184</v>
      </c>
      <c r="B1152" s="3">
        <v>45729</v>
      </c>
      <c r="C1152" s="2" t="s">
        <v>724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>
        <v>53.9</v>
      </c>
    </row>
    <row r="1153" spans="1:16">
      <c r="A1153" s="2" t="s">
        <v>1185</v>
      </c>
      <c r="B1153" s="3">
        <v>45699</v>
      </c>
      <c r="C1153" s="2" t="s">
        <v>724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>
        <v>69</v>
      </c>
    </row>
    <row r="1154" spans="1:16">
      <c r="A1154" s="2" t="s">
        <v>1186</v>
      </c>
      <c r="B1154" s="3">
        <v>45717</v>
      </c>
      <c r="C1154" s="2" t="s">
        <v>724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>
        <v>37.4</v>
      </c>
    </row>
    <row r="1155" spans="1:16">
      <c r="A1155" s="2" t="s">
        <v>1187</v>
      </c>
      <c r="B1155" s="3">
        <v>45762</v>
      </c>
      <c r="C1155" s="2" t="s">
        <v>724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>
        <v>59</v>
      </c>
    </row>
    <row r="1156" spans="1:16">
      <c r="A1156" s="2" t="s">
        <v>1188</v>
      </c>
      <c r="B1156" s="3">
        <v>45690</v>
      </c>
      <c r="C1156" s="2" t="s">
        <v>724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>
        <v>60.8</v>
      </c>
    </row>
    <row r="1157" spans="1:16">
      <c r="A1157" s="2" t="s">
        <v>1189</v>
      </c>
      <c r="B1157" s="3">
        <v>45796</v>
      </c>
      <c r="C1157" s="2" t="s">
        <v>724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>
        <v>57.5</v>
      </c>
    </row>
    <row r="1158" spans="1:16">
      <c r="A1158" s="2" t="s">
        <v>1190</v>
      </c>
      <c r="B1158" s="3">
        <v>45662</v>
      </c>
      <c r="C1158" s="2" t="s">
        <v>724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>
        <v>84.2</v>
      </c>
    </row>
    <row r="1159" spans="1:16">
      <c r="A1159" s="2" t="s">
        <v>1191</v>
      </c>
      <c r="B1159" s="3">
        <v>45724</v>
      </c>
      <c r="C1159" s="2" t="s">
        <v>724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>
        <v>27.4</v>
      </c>
    </row>
    <row r="1160" spans="1:16">
      <c r="A1160" s="2" t="s">
        <v>1192</v>
      </c>
      <c r="B1160" s="3">
        <v>45728</v>
      </c>
      <c r="C1160" s="2" t="s">
        <v>724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>
        <v>67.599999999999994</v>
      </c>
    </row>
    <row r="1161" spans="1:16">
      <c r="A1161" s="2" t="s">
        <v>1193</v>
      </c>
      <c r="B1161" s="3">
        <v>45681</v>
      </c>
      <c r="C1161" s="2" t="s">
        <v>724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>
        <v>68.400000000000006</v>
      </c>
    </row>
    <row r="1162" spans="1:16">
      <c r="A1162" s="2" t="s">
        <v>1194</v>
      </c>
      <c r="B1162" s="3">
        <v>45799</v>
      </c>
      <c r="C1162" s="2" t="s">
        <v>724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>
        <v>66.5</v>
      </c>
    </row>
    <row r="1163" spans="1:16">
      <c r="A1163" s="2" t="s">
        <v>1195</v>
      </c>
      <c r="B1163" s="3">
        <v>45743</v>
      </c>
      <c r="C1163" s="2" t="s">
        <v>724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>
        <v>38.200000000000003</v>
      </c>
    </row>
    <row r="1164" spans="1:16">
      <c r="A1164" s="2" t="s">
        <v>1196</v>
      </c>
      <c r="B1164" s="3">
        <v>45659</v>
      </c>
      <c r="C1164" s="2" t="s">
        <v>724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>
        <v>66.7</v>
      </c>
    </row>
    <row r="1165" spans="1:16">
      <c r="A1165" s="2" t="s">
        <v>1197</v>
      </c>
      <c r="B1165" s="3">
        <v>45712</v>
      </c>
      <c r="C1165" s="2" t="s">
        <v>724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>
        <v>73.7</v>
      </c>
    </row>
    <row r="1166" spans="1:16">
      <c r="A1166" s="2" t="s">
        <v>1198</v>
      </c>
      <c r="B1166" s="3">
        <v>45717</v>
      </c>
      <c r="C1166" s="2" t="s">
        <v>724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>
        <v>63.9</v>
      </c>
    </row>
    <row r="1167" spans="1:16">
      <c r="A1167" s="2" t="s">
        <v>1199</v>
      </c>
      <c r="B1167" s="3">
        <v>45742</v>
      </c>
      <c r="C1167" s="2" t="s">
        <v>724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>
        <v>82.6</v>
      </c>
    </row>
    <row r="1168" spans="1:16">
      <c r="A1168" s="2" t="s">
        <v>1200</v>
      </c>
      <c r="B1168" s="3">
        <v>45802</v>
      </c>
      <c r="C1168" s="2" t="s">
        <v>724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>
        <v>58.3</v>
      </c>
    </row>
    <row r="1169" spans="1:16">
      <c r="A1169" s="2" t="s">
        <v>1201</v>
      </c>
      <c r="B1169" s="3">
        <v>45713</v>
      </c>
      <c r="C1169" s="2" t="s">
        <v>724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>
        <v>72.900000000000006</v>
      </c>
    </row>
    <row r="1170" spans="1:16">
      <c r="A1170" s="2" t="s">
        <v>1202</v>
      </c>
      <c r="B1170" s="3">
        <v>45739</v>
      </c>
      <c r="C1170" s="2" t="s">
        <v>724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>
        <v>53.5</v>
      </c>
    </row>
    <row r="1171" spans="1:16">
      <c r="A1171" s="2" t="s">
        <v>1203</v>
      </c>
      <c r="B1171" s="3">
        <v>45768</v>
      </c>
      <c r="C1171" s="2" t="s">
        <v>724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>
        <v>54.8</v>
      </c>
    </row>
    <row r="1172" spans="1:16">
      <c r="A1172" s="2" t="s">
        <v>1204</v>
      </c>
      <c r="B1172" s="3">
        <v>45798</v>
      </c>
      <c r="C1172" s="2" t="s">
        <v>724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>
        <v>69.5</v>
      </c>
    </row>
    <row r="1173" spans="1:16">
      <c r="A1173" s="2" t="s">
        <v>1205</v>
      </c>
      <c r="B1173" s="3">
        <v>45772</v>
      </c>
      <c r="C1173" s="2" t="s">
        <v>724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>
        <v>71.3</v>
      </c>
    </row>
    <row r="1174" spans="1:16">
      <c r="A1174" s="2" t="s">
        <v>1206</v>
      </c>
      <c r="B1174" s="3">
        <v>45800</v>
      </c>
      <c r="C1174" s="2" t="s">
        <v>724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>
        <v>57.5</v>
      </c>
    </row>
    <row r="1175" spans="1:16">
      <c r="A1175" s="2" t="s">
        <v>1207</v>
      </c>
      <c r="B1175" s="3">
        <v>45734</v>
      </c>
      <c r="C1175" s="2" t="s">
        <v>724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>
        <v>50.9</v>
      </c>
    </row>
    <row r="1176" spans="1:16">
      <c r="A1176" s="2" t="s">
        <v>1208</v>
      </c>
      <c r="B1176" s="3">
        <v>45660</v>
      </c>
      <c r="C1176" s="2" t="s">
        <v>724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>
        <v>69.3</v>
      </c>
    </row>
    <row r="1177" spans="1:16">
      <c r="A1177" s="2" t="s">
        <v>1209</v>
      </c>
      <c r="B1177" s="3">
        <v>45696</v>
      </c>
      <c r="C1177" s="2" t="s">
        <v>724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>
        <v>50.1</v>
      </c>
    </row>
    <row r="1178" spans="1:16">
      <c r="A1178" s="2" t="s">
        <v>1210</v>
      </c>
      <c r="B1178" s="3">
        <v>45692</v>
      </c>
      <c r="C1178" s="2" t="s">
        <v>724</v>
      </c>
      <c r="D1178" s="2" t="s">
        <v>28</v>
      </c>
      <c r="E1178" s="2" t="s">
        <v>156</v>
      </c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>
        <v>69.7</v>
      </c>
    </row>
    <row r="1179" spans="1:16">
      <c r="A1179" s="2" t="s">
        <v>1211</v>
      </c>
      <c r="B1179" s="3">
        <v>45673</v>
      </c>
      <c r="C1179" s="2" t="s">
        <v>724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>
        <v>63.5</v>
      </c>
    </row>
    <row r="1180" spans="1:16">
      <c r="A1180" s="2" t="s">
        <v>1212</v>
      </c>
      <c r="B1180" s="3">
        <v>45751</v>
      </c>
      <c r="C1180" s="2" t="s">
        <v>724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>
        <v>80.400000000000006</v>
      </c>
    </row>
    <row r="1181" spans="1:16">
      <c r="A1181" s="2" t="s">
        <v>1213</v>
      </c>
      <c r="B1181" s="3">
        <v>45680</v>
      </c>
      <c r="C1181" s="2" t="s">
        <v>724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>
        <v>58.9</v>
      </c>
    </row>
    <row r="1182" spans="1:16">
      <c r="A1182" s="2" t="s">
        <v>1214</v>
      </c>
      <c r="B1182" s="3">
        <v>45738</v>
      </c>
      <c r="C1182" s="2" t="s">
        <v>724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>
        <v>56.8</v>
      </c>
    </row>
    <row r="1183" spans="1:16">
      <c r="A1183" s="2" t="s">
        <v>1215</v>
      </c>
      <c r="B1183" s="3">
        <v>45690</v>
      </c>
      <c r="C1183" s="2" t="s">
        <v>724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>
        <v>73.900000000000006</v>
      </c>
    </row>
    <row r="1184" spans="1:16">
      <c r="A1184" s="2" t="s">
        <v>1216</v>
      </c>
      <c r="B1184" s="3">
        <v>45688</v>
      </c>
      <c r="C1184" s="2" t="s">
        <v>724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>
        <v>76.3</v>
      </c>
    </row>
    <row r="1185" spans="1:16">
      <c r="A1185" s="2" t="s">
        <v>1217</v>
      </c>
      <c r="B1185" s="3">
        <v>45804</v>
      </c>
      <c r="C1185" s="2" t="s">
        <v>724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>
        <v>56.9</v>
      </c>
    </row>
    <row r="1186" spans="1:16">
      <c r="A1186" s="2" t="s">
        <v>1218</v>
      </c>
      <c r="B1186" s="3">
        <v>45784</v>
      </c>
      <c r="C1186" s="2" t="s">
        <v>724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>
        <v>49.4</v>
      </c>
    </row>
    <row r="1187" spans="1:16">
      <c r="A1187" s="2" t="s">
        <v>1219</v>
      </c>
      <c r="B1187" s="3">
        <v>45785</v>
      </c>
      <c r="C1187" s="2" t="s">
        <v>724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>
        <v>86.7</v>
      </c>
    </row>
    <row r="1188" spans="1:16">
      <c r="A1188" s="2" t="s">
        <v>1220</v>
      </c>
      <c r="B1188" s="3">
        <v>45672</v>
      </c>
      <c r="C1188" s="2" t="s">
        <v>724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>
        <v>69</v>
      </c>
    </row>
    <row r="1189" spans="1:16">
      <c r="A1189" s="2" t="s">
        <v>1221</v>
      </c>
      <c r="B1189" s="3">
        <v>45675</v>
      </c>
      <c r="C1189" s="2" t="s">
        <v>724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>
        <v>84.5</v>
      </c>
    </row>
    <row r="1190" spans="1:16">
      <c r="A1190" s="2" t="s">
        <v>1222</v>
      </c>
      <c r="B1190" s="3">
        <v>45763</v>
      </c>
      <c r="C1190" s="2" t="s">
        <v>724</v>
      </c>
      <c r="D1190" s="2" t="s">
        <v>28</v>
      </c>
      <c r="E1190" s="2" t="s">
        <v>156</v>
      </c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>
        <v>66.3</v>
      </c>
    </row>
    <row r="1191" spans="1:16">
      <c r="A1191" s="2" t="s">
        <v>1223</v>
      </c>
      <c r="B1191" s="3">
        <v>45704</v>
      </c>
      <c r="C1191" s="2" t="s">
        <v>724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>
        <v>52.2</v>
      </c>
    </row>
    <row r="1192" spans="1:16">
      <c r="A1192" s="2" t="s">
        <v>1224</v>
      </c>
      <c r="B1192" s="3">
        <v>45764</v>
      </c>
      <c r="C1192" s="2" t="s">
        <v>724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>
        <v>81.2</v>
      </c>
    </row>
    <row r="1193" spans="1:16">
      <c r="A1193" s="2" t="s">
        <v>1225</v>
      </c>
      <c r="B1193" s="3">
        <v>45777</v>
      </c>
      <c r="C1193" s="2" t="s">
        <v>724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>
        <v>53.9</v>
      </c>
    </row>
    <row r="1194" spans="1:16">
      <c r="A1194" s="2" t="s">
        <v>1226</v>
      </c>
      <c r="B1194" s="3">
        <v>45686</v>
      </c>
      <c r="C1194" s="2" t="s">
        <v>724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>
        <v>39.1</v>
      </c>
    </row>
    <row r="1195" spans="1:16">
      <c r="A1195" s="2" t="s">
        <v>1227</v>
      </c>
      <c r="B1195" s="3">
        <v>45668</v>
      </c>
      <c r="C1195" s="2" t="s">
        <v>724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>
        <v>57.3</v>
      </c>
    </row>
    <row r="1196" spans="1:16">
      <c r="A1196" s="2" t="s">
        <v>1228</v>
      </c>
      <c r="B1196" s="3">
        <v>45755</v>
      </c>
      <c r="C1196" s="2" t="s">
        <v>724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>
        <v>65.900000000000006</v>
      </c>
    </row>
    <row r="1197" spans="1:16">
      <c r="A1197" s="2" t="s">
        <v>1229</v>
      </c>
      <c r="B1197" s="3">
        <v>45710</v>
      </c>
      <c r="C1197" s="2" t="s">
        <v>724</v>
      </c>
      <c r="D1197" s="2" t="s">
        <v>18</v>
      </c>
      <c r="E1197" s="2" t="s">
        <v>156</v>
      </c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>
        <v>34.200000000000003</v>
      </c>
    </row>
    <row r="1198" spans="1:16">
      <c r="A1198" s="2" t="s">
        <v>1230</v>
      </c>
      <c r="B1198" s="3">
        <v>45739</v>
      </c>
      <c r="C1198" s="2" t="s">
        <v>724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>
        <v>47.2</v>
      </c>
    </row>
    <row r="1199" spans="1:16">
      <c r="A1199" s="2" t="s">
        <v>1231</v>
      </c>
      <c r="B1199" s="3">
        <v>45800</v>
      </c>
      <c r="C1199" s="2" t="s">
        <v>724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>
        <v>55</v>
      </c>
    </row>
    <row r="1200" spans="1:16">
      <c r="A1200" s="2" t="s">
        <v>1232</v>
      </c>
      <c r="B1200" s="3">
        <v>45774</v>
      </c>
      <c r="C1200" s="2" t="s">
        <v>724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>
        <v>76.400000000000006</v>
      </c>
    </row>
    <row r="1201" spans="1:16">
      <c r="A1201" s="2" t="s">
        <v>1233</v>
      </c>
      <c r="B1201" s="3">
        <v>45803</v>
      </c>
      <c r="C1201" s="2" t="s">
        <v>724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>
        <v>70.8</v>
      </c>
    </row>
    <row r="1202" spans="1:16">
      <c r="A1202" s="2" t="s">
        <v>1234</v>
      </c>
      <c r="B1202" s="3">
        <v>45722</v>
      </c>
      <c r="C1202" s="2" t="s">
        <v>724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>
        <v>58</v>
      </c>
    </row>
    <row r="1203" spans="1:16">
      <c r="A1203" s="2" t="s">
        <v>1235</v>
      </c>
      <c r="B1203" s="3">
        <v>45750</v>
      </c>
      <c r="C1203" s="2" t="s">
        <v>724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>
        <v>70.8</v>
      </c>
    </row>
    <row r="1204" spans="1:16">
      <c r="A1204" s="2" t="s">
        <v>1236</v>
      </c>
      <c r="B1204" s="3">
        <v>45689</v>
      </c>
      <c r="C1204" s="2" t="s">
        <v>724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>
        <v>60</v>
      </c>
    </row>
    <row r="1205" spans="1:16">
      <c r="A1205" s="2" t="s">
        <v>1237</v>
      </c>
      <c r="B1205" s="3">
        <v>45778</v>
      </c>
      <c r="C1205" s="2" t="s">
        <v>724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>
        <v>58.1</v>
      </c>
    </row>
    <row r="1206" spans="1:16">
      <c r="A1206" s="2" t="s">
        <v>1238</v>
      </c>
      <c r="B1206" s="3">
        <v>45760</v>
      </c>
      <c r="C1206" s="2" t="s">
        <v>724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>
        <v>59.7</v>
      </c>
    </row>
    <row r="1207" spans="1:16">
      <c r="A1207" s="2" t="s">
        <v>1239</v>
      </c>
      <c r="B1207" s="3">
        <v>45682</v>
      </c>
      <c r="C1207" s="2" t="s">
        <v>724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>
        <v>47.7</v>
      </c>
    </row>
    <row r="1208" spans="1:16">
      <c r="A1208" s="2" t="s">
        <v>1240</v>
      </c>
      <c r="B1208" s="3">
        <v>45733</v>
      </c>
      <c r="C1208" s="2" t="s">
        <v>724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>
        <v>59.1</v>
      </c>
    </row>
    <row r="1209" spans="1:16">
      <c r="A1209" s="2" t="s">
        <v>1241</v>
      </c>
      <c r="B1209" s="3">
        <v>45709</v>
      </c>
      <c r="C1209" s="2" t="s">
        <v>724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>
        <v>68.7</v>
      </c>
    </row>
    <row r="1210" spans="1:16">
      <c r="A1210" s="2" t="s">
        <v>1242</v>
      </c>
      <c r="B1210" s="3">
        <v>45755</v>
      </c>
      <c r="C1210" s="2" t="s">
        <v>724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>
        <v>34.700000000000003</v>
      </c>
    </row>
    <row r="1211" spans="1:16">
      <c r="A1211" s="2" t="s">
        <v>1243</v>
      </c>
      <c r="B1211" s="3">
        <v>45712</v>
      </c>
      <c r="C1211" s="2" t="s">
        <v>724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>
        <v>62</v>
      </c>
    </row>
    <row r="1212" spans="1:16">
      <c r="A1212" s="2" t="s">
        <v>1244</v>
      </c>
      <c r="B1212" s="3">
        <v>45806</v>
      </c>
      <c r="C1212" s="2" t="s">
        <v>724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>
        <v>56</v>
      </c>
    </row>
    <row r="1213" spans="1:16">
      <c r="A1213" s="2" t="s">
        <v>1245</v>
      </c>
      <c r="B1213" s="3">
        <v>45807</v>
      </c>
      <c r="C1213" s="2" t="s">
        <v>724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>
        <v>65.8</v>
      </c>
    </row>
    <row r="1214" spans="1:16">
      <c r="A1214" s="2" t="s">
        <v>1246</v>
      </c>
      <c r="B1214" s="3">
        <v>45681</v>
      </c>
      <c r="C1214" s="2" t="s">
        <v>724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>
        <v>54.7</v>
      </c>
    </row>
    <row r="1215" spans="1:16">
      <c r="A1215" s="2" t="s">
        <v>1247</v>
      </c>
      <c r="B1215" s="3">
        <v>45789</v>
      </c>
      <c r="C1215" s="2" t="s">
        <v>724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>
        <v>64.099999999999994</v>
      </c>
    </row>
    <row r="1216" spans="1:16">
      <c r="A1216" s="2" t="s">
        <v>1248</v>
      </c>
      <c r="B1216" s="3">
        <v>45744</v>
      </c>
      <c r="C1216" s="2" t="s">
        <v>724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>
        <v>71.599999999999994</v>
      </c>
    </row>
    <row r="1217" spans="1:16">
      <c r="A1217" s="2" t="s">
        <v>1249</v>
      </c>
      <c r="B1217" s="3">
        <v>45761</v>
      </c>
      <c r="C1217" s="2" t="s">
        <v>724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>
        <v>78.400000000000006</v>
      </c>
    </row>
    <row r="1218" spans="1:16">
      <c r="A1218" s="2" t="s">
        <v>1250</v>
      </c>
      <c r="B1218" s="3">
        <v>45685</v>
      </c>
      <c r="C1218" s="2" t="s">
        <v>724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>
        <v>49.3</v>
      </c>
    </row>
    <row r="1219" spans="1:16">
      <c r="A1219" s="2" t="s">
        <v>1251</v>
      </c>
      <c r="B1219" s="3">
        <v>45798</v>
      </c>
      <c r="C1219" s="2" t="s">
        <v>724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>
        <v>52.8</v>
      </c>
    </row>
    <row r="1220" spans="1:16">
      <c r="A1220" s="2" t="s">
        <v>1252</v>
      </c>
      <c r="B1220" s="3">
        <v>45788</v>
      </c>
      <c r="C1220" s="2" t="s">
        <v>724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>
        <v>58.5</v>
      </c>
    </row>
    <row r="1221" spans="1:16">
      <c r="A1221" s="2" t="s">
        <v>1253</v>
      </c>
      <c r="B1221" s="3">
        <v>45690</v>
      </c>
      <c r="C1221" s="2" t="s">
        <v>724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>
        <v>55.9</v>
      </c>
    </row>
    <row r="1222" spans="1:16">
      <c r="A1222" s="2" t="s">
        <v>1254</v>
      </c>
      <c r="B1222" s="3">
        <v>45714</v>
      </c>
      <c r="C1222" s="2" t="s">
        <v>724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>
        <v>74.900000000000006</v>
      </c>
    </row>
    <row r="1223" spans="1:16">
      <c r="A1223" s="2" t="s">
        <v>1255</v>
      </c>
      <c r="B1223" s="3">
        <v>45715</v>
      </c>
      <c r="C1223" s="2" t="s">
        <v>724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>
        <v>58.5</v>
      </c>
    </row>
    <row r="1224" spans="1:16">
      <c r="A1224" s="2" t="s">
        <v>1256</v>
      </c>
      <c r="B1224" s="3">
        <v>45725</v>
      </c>
      <c r="C1224" s="2" t="s">
        <v>724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>
        <v>63.5</v>
      </c>
    </row>
    <row r="1225" spans="1:16">
      <c r="A1225" s="2" t="s">
        <v>1257</v>
      </c>
      <c r="B1225" s="3">
        <v>45695</v>
      </c>
      <c r="C1225" s="2" t="s">
        <v>724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>
        <v>64.8</v>
      </c>
    </row>
    <row r="1226" spans="1:16">
      <c r="A1226" s="2" t="s">
        <v>1258</v>
      </c>
      <c r="B1226" s="3">
        <v>45688</v>
      </c>
      <c r="C1226" s="2" t="s">
        <v>724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>
        <v>63.3</v>
      </c>
    </row>
    <row r="1227" spans="1:16">
      <c r="A1227" s="2" t="s">
        <v>1259</v>
      </c>
      <c r="B1227" s="3">
        <v>45702</v>
      </c>
      <c r="C1227" s="2" t="s">
        <v>724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>
        <v>83.7</v>
      </c>
    </row>
    <row r="1228" spans="1:16">
      <c r="A1228" s="2" t="s">
        <v>1260</v>
      </c>
      <c r="B1228" s="3">
        <v>45700</v>
      </c>
      <c r="C1228" s="2" t="s">
        <v>724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>
        <v>88.7</v>
      </c>
    </row>
    <row r="1229" spans="1:16">
      <c r="A1229" s="2" t="s">
        <v>1261</v>
      </c>
      <c r="B1229" s="3">
        <v>45739</v>
      </c>
      <c r="C1229" s="2" t="s">
        <v>724</v>
      </c>
      <c r="D1229" s="2" t="s">
        <v>28</v>
      </c>
      <c r="E1229" s="2" t="s">
        <v>156</v>
      </c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>
        <v>61.5</v>
      </c>
    </row>
    <row r="1230" spans="1:16">
      <c r="A1230" s="2" t="s">
        <v>1262</v>
      </c>
      <c r="B1230" s="3">
        <v>45734</v>
      </c>
      <c r="C1230" s="2" t="s">
        <v>724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>
        <v>45.3</v>
      </c>
    </row>
    <row r="1231" spans="1:16">
      <c r="A1231" s="2" t="s">
        <v>1263</v>
      </c>
      <c r="B1231" s="3">
        <v>45794</v>
      </c>
      <c r="C1231" s="2" t="s">
        <v>724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>
        <v>37.299999999999997</v>
      </c>
    </row>
    <row r="1232" spans="1:16">
      <c r="A1232" s="2" t="s">
        <v>1264</v>
      </c>
      <c r="B1232" s="3">
        <v>45742</v>
      </c>
      <c r="C1232" s="2" t="s">
        <v>724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>
        <v>76.099999999999994</v>
      </c>
    </row>
    <row r="1233" spans="1:16">
      <c r="A1233" s="2" t="s">
        <v>1265</v>
      </c>
      <c r="B1233" s="3">
        <v>45746</v>
      </c>
      <c r="C1233" s="2" t="s">
        <v>724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>
        <v>72.5</v>
      </c>
    </row>
    <row r="1234" spans="1:16">
      <c r="A1234" s="2" t="s">
        <v>1266</v>
      </c>
      <c r="B1234" s="3">
        <v>45713</v>
      </c>
      <c r="C1234" s="2" t="s">
        <v>724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>
        <v>62.3</v>
      </c>
    </row>
    <row r="1235" spans="1:16">
      <c r="A1235" s="2" t="s">
        <v>1267</v>
      </c>
      <c r="B1235" s="3">
        <v>45717</v>
      </c>
      <c r="C1235" s="2" t="s">
        <v>724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>
        <v>62.7</v>
      </c>
    </row>
    <row r="1236" spans="1:16">
      <c r="A1236" s="2" t="s">
        <v>1268</v>
      </c>
      <c r="B1236" s="3">
        <v>45804</v>
      </c>
      <c r="C1236" s="2" t="s">
        <v>724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>
        <v>82.4</v>
      </c>
    </row>
    <row r="1237" spans="1:16">
      <c r="A1237" s="2" t="s">
        <v>1269</v>
      </c>
      <c r="B1237" s="3">
        <v>45693</v>
      </c>
      <c r="C1237" s="2" t="s">
        <v>724</v>
      </c>
      <c r="D1237" s="2" t="s">
        <v>23</v>
      </c>
      <c r="E1237" s="2" t="s">
        <v>24</v>
      </c>
      <c r="F1237" s="2" t="s">
        <v>156</v>
      </c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>
        <v>78.900000000000006</v>
      </c>
    </row>
    <row r="1238" spans="1:16">
      <c r="A1238" s="2" t="s">
        <v>1270</v>
      </c>
      <c r="B1238" s="3">
        <v>45682</v>
      </c>
      <c r="C1238" s="2" t="s">
        <v>724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>
        <v>67.8</v>
      </c>
    </row>
    <row r="1239" spans="1:16">
      <c r="A1239" s="2" t="s">
        <v>1271</v>
      </c>
      <c r="B1239" s="3">
        <v>45757</v>
      </c>
      <c r="C1239" s="2" t="s">
        <v>724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>
        <v>68.8</v>
      </c>
    </row>
    <row r="1240" spans="1:16">
      <c r="A1240" s="2" t="s">
        <v>1272</v>
      </c>
      <c r="B1240" s="3">
        <v>45667</v>
      </c>
      <c r="C1240" s="2" t="s">
        <v>724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>
        <v>67.7</v>
      </c>
    </row>
    <row r="1241" spans="1:16">
      <c r="A1241" s="2" t="s">
        <v>1273</v>
      </c>
      <c r="B1241" s="3">
        <v>45711</v>
      </c>
      <c r="C1241" s="2" t="s">
        <v>724</v>
      </c>
      <c r="D1241" s="2" t="s">
        <v>28</v>
      </c>
      <c r="E1241" s="2" t="s">
        <v>24</v>
      </c>
      <c r="F1241" s="2" t="s">
        <v>156</v>
      </c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>
        <v>88</v>
      </c>
    </row>
    <row r="1242" spans="1:16">
      <c r="A1242" s="2" t="s">
        <v>1274</v>
      </c>
      <c r="B1242" s="3">
        <v>45800</v>
      </c>
      <c r="C1242" s="2" t="s">
        <v>724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>
        <v>80.099999999999994</v>
      </c>
    </row>
    <row r="1243" spans="1:16">
      <c r="A1243" s="2" t="s">
        <v>1275</v>
      </c>
      <c r="B1243" s="3">
        <v>45724</v>
      </c>
      <c r="C1243" s="2" t="s">
        <v>724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>
        <v>48.2</v>
      </c>
    </row>
    <row r="1244" spans="1:16">
      <c r="A1244" s="2" t="s">
        <v>1276</v>
      </c>
      <c r="B1244" s="3">
        <v>45798</v>
      </c>
      <c r="C1244" s="2" t="s">
        <v>724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>
        <v>52.7</v>
      </c>
    </row>
    <row r="1245" spans="1:16">
      <c r="A1245" s="2" t="s">
        <v>1277</v>
      </c>
      <c r="B1245" s="3">
        <v>45769</v>
      </c>
      <c r="C1245" s="2" t="s">
        <v>724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>
        <v>59.9</v>
      </c>
    </row>
    <row r="1246" spans="1:16">
      <c r="A1246" s="2" t="s">
        <v>1278</v>
      </c>
      <c r="B1246" s="3">
        <v>45763</v>
      </c>
      <c r="C1246" s="2" t="s">
        <v>724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>
        <v>49.5</v>
      </c>
    </row>
    <row r="1247" spans="1:16">
      <c r="A1247" s="2" t="s">
        <v>1279</v>
      </c>
      <c r="B1247" s="3">
        <v>45785</v>
      </c>
      <c r="C1247" s="2" t="s">
        <v>724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>
        <v>41.5</v>
      </c>
    </row>
    <row r="1248" spans="1:16">
      <c r="A1248" s="2" t="s">
        <v>1280</v>
      </c>
      <c r="B1248" s="3">
        <v>45799</v>
      </c>
      <c r="C1248" s="2" t="s">
        <v>724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>
        <v>71.2</v>
      </c>
    </row>
    <row r="1249" spans="1:16">
      <c r="A1249" s="2" t="s">
        <v>1281</v>
      </c>
      <c r="B1249" s="3">
        <v>45737</v>
      </c>
      <c r="C1249" s="2" t="s">
        <v>724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>
        <v>65.8</v>
      </c>
    </row>
    <row r="1250" spans="1:16">
      <c r="A1250" s="2" t="s">
        <v>1282</v>
      </c>
      <c r="B1250" s="3">
        <v>45738</v>
      </c>
      <c r="C1250" s="2" t="s">
        <v>724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>
        <v>55.1</v>
      </c>
    </row>
    <row r="1251" spans="1:16">
      <c r="A1251" s="2" t="s">
        <v>1283</v>
      </c>
      <c r="B1251" s="3">
        <v>45667</v>
      </c>
      <c r="C1251" s="2" t="s">
        <v>724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>
        <v>54.6</v>
      </c>
    </row>
    <row r="1252" spans="1:16">
      <c r="A1252" s="2" t="s">
        <v>1284</v>
      </c>
      <c r="B1252" s="3">
        <v>45689</v>
      </c>
      <c r="C1252" s="2" t="s">
        <v>724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>
        <v>81.900000000000006</v>
      </c>
    </row>
    <row r="1253" spans="1:16">
      <c r="A1253" s="2" t="s">
        <v>1285</v>
      </c>
      <c r="B1253" s="3">
        <v>45747</v>
      </c>
      <c r="C1253" s="2" t="s">
        <v>724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>
        <v>63.2</v>
      </c>
    </row>
    <row r="1254" spans="1:16">
      <c r="A1254" s="2" t="s">
        <v>1286</v>
      </c>
      <c r="B1254" s="3">
        <v>45772</v>
      </c>
      <c r="C1254" s="2" t="s">
        <v>724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>
        <v>55.4</v>
      </c>
    </row>
    <row r="1255" spans="1:16">
      <c r="A1255" s="2" t="s">
        <v>1287</v>
      </c>
      <c r="B1255" s="3">
        <v>45779</v>
      </c>
      <c r="C1255" s="2" t="s">
        <v>724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>
        <v>87.5</v>
      </c>
    </row>
    <row r="1256" spans="1:16">
      <c r="A1256" s="2" t="s">
        <v>1288</v>
      </c>
      <c r="B1256" s="3">
        <v>45724</v>
      </c>
      <c r="C1256" s="2" t="s">
        <v>724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>
        <v>48.5</v>
      </c>
    </row>
    <row r="1257" spans="1:16">
      <c r="A1257" s="2" t="s">
        <v>1289</v>
      </c>
      <c r="B1257" s="3">
        <v>45684</v>
      </c>
      <c r="C1257" s="2" t="s">
        <v>724</v>
      </c>
      <c r="D1257" s="2" t="s">
        <v>28</v>
      </c>
      <c r="E1257" s="2" t="s">
        <v>19</v>
      </c>
      <c r="F1257" s="2" t="s">
        <v>156</v>
      </c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>
        <v>58.4</v>
      </c>
    </row>
    <row r="1258" spans="1:16">
      <c r="A1258" s="2" t="s">
        <v>1290</v>
      </c>
      <c r="B1258" s="3">
        <v>45774</v>
      </c>
      <c r="C1258" s="2" t="s">
        <v>724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>
        <v>59.5</v>
      </c>
    </row>
    <row r="1259" spans="1:16">
      <c r="A1259" s="2" t="s">
        <v>1291</v>
      </c>
      <c r="B1259" s="3">
        <v>45673</v>
      </c>
      <c r="C1259" s="2" t="s">
        <v>724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>
        <v>93.2</v>
      </c>
    </row>
    <row r="1260" spans="1:16">
      <c r="A1260" s="2" t="s">
        <v>1292</v>
      </c>
      <c r="B1260" s="3">
        <v>45675</v>
      </c>
      <c r="C1260" s="2" t="s">
        <v>724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>
        <v>59</v>
      </c>
    </row>
    <row r="1261" spans="1:16">
      <c r="A1261" s="2" t="s">
        <v>1293</v>
      </c>
      <c r="B1261" s="3">
        <v>45737</v>
      </c>
      <c r="C1261" s="2" t="s">
        <v>724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>
        <v>37</v>
      </c>
    </row>
    <row r="1262" spans="1:16">
      <c r="A1262" s="2" t="s">
        <v>1294</v>
      </c>
      <c r="B1262" s="3">
        <v>45749</v>
      </c>
      <c r="C1262" s="2" t="s">
        <v>724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>
        <v>47.5</v>
      </c>
    </row>
    <row r="1263" spans="1:16">
      <c r="A1263" s="2" t="s">
        <v>1295</v>
      </c>
      <c r="B1263" s="3">
        <v>45704</v>
      </c>
      <c r="C1263" s="2" t="s">
        <v>724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>
        <v>78.7</v>
      </c>
    </row>
    <row r="1264" spans="1:16">
      <c r="A1264" s="2" t="s">
        <v>1296</v>
      </c>
      <c r="B1264" s="3">
        <v>45706</v>
      </c>
      <c r="C1264" s="2" t="s">
        <v>724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>
        <v>49.6</v>
      </c>
    </row>
    <row r="1265" spans="1:16">
      <c r="A1265" s="2" t="s">
        <v>1297</v>
      </c>
      <c r="B1265" s="3">
        <v>45666</v>
      </c>
      <c r="C1265" s="2" t="s">
        <v>724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>
        <v>58</v>
      </c>
    </row>
    <row r="1266" spans="1:16">
      <c r="A1266" s="2" t="s">
        <v>1298</v>
      </c>
      <c r="B1266" s="3">
        <v>45706</v>
      </c>
      <c r="C1266" s="2" t="s">
        <v>724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>
        <v>54.4</v>
      </c>
    </row>
    <row r="1267" spans="1:16">
      <c r="A1267" s="2" t="s">
        <v>1299</v>
      </c>
      <c r="B1267" s="3">
        <v>45667</v>
      </c>
      <c r="C1267" s="2" t="s">
        <v>724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>
        <v>33.700000000000003</v>
      </c>
    </row>
    <row r="1268" spans="1:16">
      <c r="A1268" s="2" t="s">
        <v>1300</v>
      </c>
      <c r="B1268" s="3">
        <v>45724</v>
      </c>
      <c r="C1268" s="2" t="s">
        <v>724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>
        <v>72.7</v>
      </c>
    </row>
    <row r="1269" spans="1:16">
      <c r="A1269" s="2" t="s">
        <v>1301</v>
      </c>
      <c r="B1269" s="3">
        <v>45763</v>
      </c>
      <c r="C1269" s="2" t="s">
        <v>724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>
        <v>64.7</v>
      </c>
    </row>
    <row r="1270" spans="1:16">
      <c r="A1270" s="2" t="s">
        <v>1302</v>
      </c>
      <c r="B1270" s="3">
        <v>45707</v>
      </c>
      <c r="C1270" s="2" t="s">
        <v>724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>
        <v>48.6</v>
      </c>
    </row>
    <row r="1271" spans="1:16">
      <c r="A1271" s="2" t="s">
        <v>1303</v>
      </c>
      <c r="B1271" s="3">
        <v>45732</v>
      </c>
      <c r="C1271" s="2" t="s">
        <v>724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>
        <v>66.2</v>
      </c>
    </row>
    <row r="1272" spans="1:16">
      <c r="A1272" s="2" t="s">
        <v>1304</v>
      </c>
      <c r="B1272" s="3">
        <v>45691</v>
      </c>
      <c r="C1272" s="2" t="s">
        <v>724</v>
      </c>
      <c r="D1272" s="2" t="s">
        <v>23</v>
      </c>
      <c r="E1272" s="2" t="s">
        <v>156</v>
      </c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>
        <v>60.7</v>
      </c>
    </row>
    <row r="1273" spans="1:16">
      <c r="A1273" s="2" t="s">
        <v>1305</v>
      </c>
      <c r="B1273" s="3">
        <v>45728</v>
      </c>
      <c r="C1273" s="2" t="s">
        <v>724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>
        <v>36.5</v>
      </c>
    </row>
    <row r="1274" spans="1:16">
      <c r="A1274" s="2" t="s">
        <v>1306</v>
      </c>
      <c r="B1274" s="3">
        <v>45786</v>
      </c>
      <c r="C1274" s="2" t="s">
        <v>724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>
        <v>69.7</v>
      </c>
    </row>
    <row r="1275" spans="1:16">
      <c r="A1275" s="2" t="s">
        <v>1307</v>
      </c>
      <c r="B1275" s="3">
        <v>45676</v>
      </c>
      <c r="C1275" s="2" t="s">
        <v>724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>
        <v>81.8</v>
      </c>
    </row>
    <row r="1276" spans="1:16">
      <c r="A1276" s="2" t="s">
        <v>1308</v>
      </c>
      <c r="B1276" s="3">
        <v>45681</v>
      </c>
      <c r="C1276" s="2" t="s">
        <v>724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>
        <v>78.3</v>
      </c>
    </row>
    <row r="1277" spans="1:16">
      <c r="A1277" s="2" t="s">
        <v>1309</v>
      </c>
      <c r="B1277" s="3">
        <v>45719</v>
      </c>
      <c r="C1277" s="2" t="s">
        <v>724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>
        <v>79.400000000000006</v>
      </c>
    </row>
    <row r="1278" spans="1:16">
      <c r="A1278" s="2" t="s">
        <v>1310</v>
      </c>
      <c r="B1278" s="3">
        <v>45804</v>
      </c>
      <c r="C1278" s="2" t="s">
        <v>724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>
        <v>54.9</v>
      </c>
    </row>
    <row r="1279" spans="1:16">
      <c r="A1279" s="2" t="s">
        <v>1311</v>
      </c>
      <c r="B1279" s="3">
        <v>45770</v>
      </c>
      <c r="C1279" s="2" t="s">
        <v>724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>
        <v>54.9</v>
      </c>
    </row>
    <row r="1280" spans="1:16">
      <c r="A1280" s="2" t="s">
        <v>1312</v>
      </c>
      <c r="B1280" s="3">
        <v>45698</v>
      </c>
      <c r="C1280" s="2" t="s">
        <v>724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>
        <v>28.7</v>
      </c>
    </row>
    <row r="1281" spans="1:16">
      <c r="A1281" s="2" t="s">
        <v>1313</v>
      </c>
      <c r="B1281" s="3">
        <v>45699</v>
      </c>
      <c r="C1281" s="2" t="s">
        <v>724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>
        <v>68.8</v>
      </c>
    </row>
    <row r="1282" spans="1:16">
      <c r="A1282" s="2" t="s">
        <v>1314</v>
      </c>
      <c r="B1282" s="3">
        <v>45678</v>
      </c>
      <c r="C1282" s="2" t="s">
        <v>724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>
        <v>43.5</v>
      </c>
    </row>
    <row r="1283" spans="1:16">
      <c r="A1283" s="2" t="s">
        <v>1315</v>
      </c>
      <c r="B1283" s="3">
        <v>45690</v>
      </c>
      <c r="C1283" s="2" t="s">
        <v>724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>
        <v>62.6</v>
      </c>
    </row>
    <row r="1284" spans="1:16">
      <c r="A1284" s="2" t="s">
        <v>1316</v>
      </c>
      <c r="B1284" s="3">
        <v>45690</v>
      </c>
      <c r="C1284" s="2" t="s">
        <v>724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>
        <v>54.1</v>
      </c>
    </row>
    <row r="1285" spans="1:16">
      <c r="A1285" s="2" t="s">
        <v>1317</v>
      </c>
      <c r="B1285" s="3">
        <v>45714</v>
      </c>
      <c r="C1285" s="2" t="s">
        <v>724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>
        <v>80.099999999999994</v>
      </c>
    </row>
    <row r="1286" spans="1:16">
      <c r="A1286" s="2" t="s">
        <v>1318</v>
      </c>
      <c r="B1286" s="3">
        <v>45769</v>
      </c>
      <c r="C1286" s="2" t="s">
        <v>724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>
        <v>69.5</v>
      </c>
    </row>
    <row r="1287" spans="1:16">
      <c r="A1287" s="2" t="s">
        <v>1319</v>
      </c>
      <c r="B1287" s="3">
        <v>45727</v>
      </c>
      <c r="C1287" s="2" t="s">
        <v>724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>
        <v>46.6</v>
      </c>
    </row>
    <row r="1288" spans="1:16">
      <c r="A1288" s="2" t="s">
        <v>1320</v>
      </c>
      <c r="B1288" s="3">
        <v>45785</v>
      </c>
      <c r="C1288" s="2" t="s">
        <v>724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>
        <v>54.9</v>
      </c>
    </row>
    <row r="1289" spans="1:16">
      <c r="A1289" s="2" t="s">
        <v>1321</v>
      </c>
      <c r="B1289" s="3">
        <v>45726</v>
      </c>
      <c r="C1289" s="2" t="s">
        <v>724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>
        <v>100</v>
      </c>
    </row>
    <row r="1290" spans="1:16">
      <c r="A1290" s="2" t="s">
        <v>1322</v>
      </c>
      <c r="B1290" s="3">
        <v>45763</v>
      </c>
      <c r="C1290" s="2" t="s">
        <v>724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>
        <v>80.5</v>
      </c>
    </row>
    <row r="1291" spans="1:16">
      <c r="A1291" s="2" t="s">
        <v>1323</v>
      </c>
      <c r="B1291" s="3">
        <v>45717</v>
      </c>
      <c r="C1291" s="2" t="s">
        <v>724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>
        <v>51.2</v>
      </c>
    </row>
    <row r="1292" spans="1:16">
      <c r="A1292" s="2" t="s">
        <v>1324</v>
      </c>
      <c r="B1292" s="3">
        <v>45675</v>
      </c>
      <c r="C1292" s="2" t="s">
        <v>724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>
        <v>42.5</v>
      </c>
    </row>
    <row r="1293" spans="1:16">
      <c r="A1293" s="2" t="s">
        <v>1325</v>
      </c>
      <c r="B1293" s="3">
        <v>45746</v>
      </c>
      <c r="C1293" s="2" t="s">
        <v>724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>
        <v>72.5</v>
      </c>
    </row>
    <row r="1294" spans="1:16">
      <c r="A1294" s="2" t="s">
        <v>1326</v>
      </c>
      <c r="B1294" s="3">
        <v>45803</v>
      </c>
      <c r="C1294" s="2" t="s">
        <v>724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>
        <v>74.400000000000006</v>
      </c>
    </row>
    <row r="1295" spans="1:16">
      <c r="A1295" s="2" t="s">
        <v>1327</v>
      </c>
      <c r="B1295" s="3">
        <v>45735</v>
      </c>
      <c r="C1295" s="2" t="s">
        <v>724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>
        <v>78.400000000000006</v>
      </c>
    </row>
    <row r="1296" spans="1:16">
      <c r="A1296" s="2" t="s">
        <v>1328</v>
      </c>
      <c r="B1296" s="3">
        <v>45744</v>
      </c>
      <c r="C1296" s="2" t="s">
        <v>724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>
        <v>71.5</v>
      </c>
    </row>
    <row r="1297" spans="1:16">
      <c r="A1297" s="2" t="s">
        <v>1329</v>
      </c>
      <c r="B1297" s="3">
        <v>45805</v>
      </c>
      <c r="C1297" s="2" t="s">
        <v>724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>
        <v>66.7</v>
      </c>
    </row>
    <row r="1298" spans="1:16">
      <c r="A1298" s="2" t="s">
        <v>1330</v>
      </c>
      <c r="B1298" s="3">
        <v>45808</v>
      </c>
      <c r="C1298" s="2" t="s">
        <v>724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>
        <v>60.4</v>
      </c>
    </row>
    <row r="1299" spans="1:16">
      <c r="A1299" s="2" t="s">
        <v>1331</v>
      </c>
      <c r="B1299" s="3">
        <v>45787</v>
      </c>
      <c r="C1299" s="2" t="s">
        <v>724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>
        <v>72.900000000000006</v>
      </c>
    </row>
    <row r="1300" spans="1:16">
      <c r="A1300" s="2" t="s">
        <v>1332</v>
      </c>
      <c r="B1300" s="3">
        <v>45794</v>
      </c>
      <c r="C1300" s="2" t="s">
        <v>724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>
        <v>59.9</v>
      </c>
    </row>
    <row r="1301" spans="1:16">
      <c r="A1301" s="2" t="s">
        <v>1333</v>
      </c>
      <c r="B1301" s="3">
        <v>45675</v>
      </c>
      <c r="C1301" s="2" t="s">
        <v>724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>
        <v>55.2</v>
      </c>
    </row>
    <row r="1302" spans="1:16">
      <c r="A1302" s="2" t="s">
        <v>1334</v>
      </c>
      <c r="B1302" s="3">
        <v>45781</v>
      </c>
      <c r="C1302" s="2" t="s">
        <v>724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>
        <v>67.8</v>
      </c>
    </row>
    <row r="1303" spans="1:16">
      <c r="A1303" s="2" t="s">
        <v>1335</v>
      </c>
      <c r="B1303" s="3">
        <v>45741</v>
      </c>
      <c r="C1303" s="2" t="s">
        <v>724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>
        <v>70</v>
      </c>
    </row>
    <row r="1304" spans="1:16">
      <c r="A1304" s="2" t="s">
        <v>1336</v>
      </c>
      <c r="B1304" s="3">
        <v>45715</v>
      </c>
      <c r="C1304" s="2" t="s">
        <v>724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>
        <v>51.1</v>
      </c>
    </row>
    <row r="1305" spans="1:16">
      <c r="A1305" s="2" t="s">
        <v>1337</v>
      </c>
      <c r="B1305" s="3">
        <v>45671</v>
      </c>
      <c r="C1305" s="2" t="s">
        <v>724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>
        <v>57</v>
      </c>
    </row>
    <row r="1306" spans="1:16">
      <c r="A1306" s="2" t="s">
        <v>1338</v>
      </c>
      <c r="B1306" s="3">
        <v>45758</v>
      </c>
      <c r="C1306" s="2" t="s">
        <v>724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>
        <v>47.1</v>
      </c>
    </row>
    <row r="1307" spans="1:16">
      <c r="A1307" s="2" t="s">
        <v>1339</v>
      </c>
      <c r="B1307" s="3">
        <v>45742</v>
      </c>
      <c r="C1307" s="2" t="s">
        <v>724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>
        <v>30.7</v>
      </c>
    </row>
    <row r="1308" spans="1:16">
      <c r="A1308" s="2" t="s">
        <v>1340</v>
      </c>
      <c r="B1308" s="3">
        <v>45700</v>
      </c>
      <c r="C1308" s="2" t="s">
        <v>724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>
        <v>57.3</v>
      </c>
    </row>
    <row r="1309" spans="1:16">
      <c r="A1309" s="2" t="s">
        <v>1341</v>
      </c>
      <c r="B1309" s="3">
        <v>45706</v>
      </c>
      <c r="C1309" s="2" t="s">
        <v>724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>
        <v>70</v>
      </c>
    </row>
    <row r="1310" spans="1:16">
      <c r="A1310" s="2" t="s">
        <v>1342</v>
      </c>
      <c r="B1310" s="3">
        <v>45802</v>
      </c>
      <c r="C1310" s="2" t="s">
        <v>724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>
        <v>59.7</v>
      </c>
    </row>
    <row r="1311" spans="1:16">
      <c r="A1311" s="2" t="s">
        <v>1343</v>
      </c>
      <c r="B1311" s="3">
        <v>45800</v>
      </c>
      <c r="C1311" s="2" t="s">
        <v>724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>
        <v>68.8</v>
      </c>
    </row>
    <row r="1312" spans="1:16">
      <c r="A1312" s="2" t="s">
        <v>1344</v>
      </c>
      <c r="B1312" s="3">
        <v>45673</v>
      </c>
      <c r="C1312" s="2" t="s">
        <v>724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>
        <v>88.3</v>
      </c>
    </row>
    <row r="1313" spans="1:16">
      <c r="A1313" s="2" t="s">
        <v>1345</v>
      </c>
      <c r="B1313" s="3">
        <v>45676</v>
      </c>
      <c r="C1313" s="2" t="s">
        <v>724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>
        <v>83.4</v>
      </c>
    </row>
    <row r="1314" spans="1:16">
      <c r="A1314" s="2" t="s">
        <v>1346</v>
      </c>
      <c r="B1314" s="3">
        <v>45795</v>
      </c>
      <c r="C1314" s="2" t="s">
        <v>724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>
        <v>81.599999999999994</v>
      </c>
    </row>
    <row r="1315" spans="1:16">
      <c r="A1315" s="2" t="s">
        <v>1347</v>
      </c>
      <c r="B1315" s="3">
        <v>45680</v>
      </c>
      <c r="C1315" s="2" t="s">
        <v>724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>
        <v>91.6</v>
      </c>
    </row>
    <row r="1316" spans="1:16">
      <c r="A1316" s="2" t="s">
        <v>1348</v>
      </c>
      <c r="B1316" s="3">
        <v>45665</v>
      </c>
      <c r="C1316" s="2" t="s">
        <v>724</v>
      </c>
      <c r="D1316" s="2" t="s">
        <v>28</v>
      </c>
      <c r="E1316" s="2" t="s">
        <v>34</v>
      </c>
      <c r="F1316" s="2" t="s">
        <v>156</v>
      </c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>
        <v>61.5</v>
      </c>
    </row>
    <row r="1317" spans="1:16">
      <c r="A1317" s="2" t="s">
        <v>1349</v>
      </c>
      <c r="B1317" s="3">
        <v>45707</v>
      </c>
      <c r="C1317" s="2" t="s">
        <v>724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>
        <v>59.9</v>
      </c>
    </row>
    <row r="1318" spans="1:16">
      <c r="A1318" s="2" t="s">
        <v>1350</v>
      </c>
      <c r="B1318" s="3">
        <v>45698</v>
      </c>
      <c r="C1318" s="2" t="s">
        <v>724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>
        <v>32.6</v>
      </c>
    </row>
    <row r="1319" spans="1:16">
      <c r="A1319" s="2" t="s">
        <v>1351</v>
      </c>
      <c r="B1319" s="3">
        <v>45760</v>
      </c>
      <c r="C1319" s="2" t="s">
        <v>724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>
        <v>73.900000000000006</v>
      </c>
    </row>
    <row r="1320" spans="1:16">
      <c r="A1320" s="2" t="s">
        <v>1352</v>
      </c>
      <c r="B1320" s="3">
        <v>45797</v>
      </c>
      <c r="C1320" s="2" t="s">
        <v>724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>
        <v>99.9</v>
      </c>
    </row>
    <row r="1321" spans="1:16">
      <c r="A1321" s="2" t="s">
        <v>1353</v>
      </c>
      <c r="B1321" s="3">
        <v>45790</v>
      </c>
      <c r="C1321" s="2" t="s">
        <v>724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>
        <v>62.4</v>
      </c>
    </row>
    <row r="1322" spans="1:16">
      <c r="A1322" s="2" t="s">
        <v>1354</v>
      </c>
      <c r="B1322" s="3">
        <v>45805</v>
      </c>
      <c r="C1322" s="2" t="s">
        <v>724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>
        <v>46.1</v>
      </c>
    </row>
    <row r="1323" spans="1:16">
      <c r="A1323" s="2" t="s">
        <v>1355</v>
      </c>
      <c r="B1323" s="3">
        <v>45735</v>
      </c>
      <c r="C1323" s="2" t="s">
        <v>724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>
        <v>73.900000000000006</v>
      </c>
    </row>
    <row r="1324" spans="1:16">
      <c r="A1324" s="2" t="s">
        <v>1356</v>
      </c>
      <c r="B1324" s="3">
        <v>45691</v>
      </c>
      <c r="C1324" s="2" t="s">
        <v>724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>
        <v>90</v>
      </c>
    </row>
    <row r="1325" spans="1:16">
      <c r="A1325" s="2" t="s">
        <v>1357</v>
      </c>
      <c r="B1325" s="3">
        <v>45714</v>
      </c>
      <c r="C1325" s="2" t="s">
        <v>724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>
        <v>68.8</v>
      </c>
    </row>
    <row r="1326" spans="1:16">
      <c r="A1326" s="2" t="s">
        <v>1358</v>
      </c>
      <c r="B1326" s="3">
        <v>45683</v>
      </c>
      <c r="C1326" s="2" t="s">
        <v>724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>
        <v>66.599999999999994</v>
      </c>
    </row>
    <row r="1327" spans="1:16">
      <c r="A1327" s="2" t="s">
        <v>1359</v>
      </c>
      <c r="B1327" s="3">
        <v>45790</v>
      </c>
      <c r="C1327" s="2" t="s">
        <v>724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>
        <v>49.7</v>
      </c>
    </row>
    <row r="1328" spans="1:16">
      <c r="A1328" s="2" t="s">
        <v>1360</v>
      </c>
      <c r="B1328" s="3">
        <v>45690</v>
      </c>
      <c r="C1328" s="2" t="s">
        <v>724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>
        <v>67.900000000000006</v>
      </c>
    </row>
    <row r="1329" spans="1:16">
      <c r="A1329" s="2" t="s">
        <v>1361</v>
      </c>
      <c r="B1329" s="3">
        <v>45777</v>
      </c>
      <c r="C1329" s="2" t="s">
        <v>724</v>
      </c>
      <c r="D1329" s="2" t="s">
        <v>23</v>
      </c>
      <c r="E1329" s="2" t="s">
        <v>24</v>
      </c>
      <c r="F1329" s="2" t="s">
        <v>156</v>
      </c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>
        <v>66.900000000000006</v>
      </c>
    </row>
    <row r="1330" spans="1:16">
      <c r="A1330" s="2" t="s">
        <v>1362</v>
      </c>
      <c r="B1330" s="3">
        <v>45745</v>
      </c>
      <c r="C1330" s="2" t="s">
        <v>724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>
        <v>46.1</v>
      </c>
    </row>
    <row r="1331" spans="1:16">
      <c r="A1331" s="2" t="s">
        <v>1363</v>
      </c>
      <c r="B1331" s="3">
        <v>45756</v>
      </c>
      <c r="C1331" s="2" t="s">
        <v>724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>
        <v>85.6</v>
      </c>
    </row>
    <row r="1332" spans="1:16">
      <c r="A1332" s="2" t="s">
        <v>1364</v>
      </c>
      <c r="B1332" s="3">
        <v>45679</v>
      </c>
      <c r="C1332" s="2" t="s">
        <v>724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>
        <v>39.6</v>
      </c>
    </row>
    <row r="1333" spans="1:16">
      <c r="A1333" s="2" t="s">
        <v>1365</v>
      </c>
      <c r="B1333" s="3">
        <v>45684</v>
      </c>
      <c r="C1333" s="2" t="s">
        <v>724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>
        <v>52.5</v>
      </c>
    </row>
    <row r="1334" spans="1:16">
      <c r="A1334" s="2" t="s">
        <v>1366</v>
      </c>
      <c r="B1334" s="3">
        <v>45679</v>
      </c>
      <c r="C1334" s="2" t="s">
        <v>724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>
        <v>73.5</v>
      </c>
    </row>
    <row r="1335" spans="1:16">
      <c r="A1335" s="2" t="s">
        <v>1367</v>
      </c>
      <c r="B1335" s="3">
        <v>45663</v>
      </c>
      <c r="C1335" s="2" t="s">
        <v>724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>
        <v>62.5</v>
      </c>
    </row>
    <row r="1336" spans="1:16">
      <c r="A1336" s="2" t="s">
        <v>1368</v>
      </c>
      <c r="B1336" s="3">
        <v>45763</v>
      </c>
      <c r="C1336" s="2" t="s">
        <v>724</v>
      </c>
      <c r="D1336" s="2" t="s">
        <v>32</v>
      </c>
      <c r="E1336" s="2" t="s">
        <v>156</v>
      </c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>
        <v>76.900000000000006</v>
      </c>
    </row>
    <row r="1337" spans="1:16">
      <c r="A1337" s="2" t="s">
        <v>1369</v>
      </c>
      <c r="B1337" s="3">
        <v>45761</v>
      </c>
      <c r="C1337" s="2" t="s">
        <v>724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>
        <v>51.4</v>
      </c>
    </row>
    <row r="1338" spans="1:16">
      <c r="A1338" s="2" t="s">
        <v>1370</v>
      </c>
      <c r="B1338" s="3">
        <v>45710</v>
      </c>
      <c r="C1338" s="2" t="s">
        <v>724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>
        <v>59.3</v>
      </c>
    </row>
    <row r="1339" spans="1:16">
      <c r="A1339" s="2" t="s">
        <v>1371</v>
      </c>
      <c r="B1339" s="3">
        <v>45725</v>
      </c>
      <c r="C1339" s="2" t="s">
        <v>724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>
        <v>74.900000000000006</v>
      </c>
    </row>
    <row r="1340" spans="1:16">
      <c r="A1340" s="2" t="s">
        <v>1372</v>
      </c>
      <c r="B1340" s="3">
        <v>45767</v>
      </c>
      <c r="C1340" s="2" t="s">
        <v>724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>
        <v>67</v>
      </c>
    </row>
    <row r="1341" spans="1:16">
      <c r="A1341" s="2" t="s">
        <v>1373</v>
      </c>
      <c r="B1341" s="3">
        <v>45726</v>
      </c>
      <c r="C1341" s="2" t="s">
        <v>724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>
        <v>63.6</v>
      </c>
    </row>
    <row r="1342" spans="1:16">
      <c r="A1342" s="2" t="s">
        <v>1374</v>
      </c>
      <c r="B1342" s="3">
        <v>45709</v>
      </c>
      <c r="C1342" s="2" t="s">
        <v>724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>
        <v>58.4</v>
      </c>
    </row>
    <row r="1343" spans="1:16">
      <c r="A1343" s="2" t="s">
        <v>1375</v>
      </c>
      <c r="B1343" s="3">
        <v>45663</v>
      </c>
      <c r="C1343" s="2" t="s">
        <v>724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>
        <v>36.799999999999997</v>
      </c>
    </row>
    <row r="1344" spans="1:16">
      <c r="A1344" s="2" t="s">
        <v>1376</v>
      </c>
      <c r="B1344" s="3">
        <v>45764</v>
      </c>
      <c r="C1344" s="2" t="s">
        <v>724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>
        <v>71.599999999999994</v>
      </c>
    </row>
    <row r="1345" spans="1:16">
      <c r="A1345" s="2" t="s">
        <v>1377</v>
      </c>
      <c r="B1345" s="3">
        <v>45800</v>
      </c>
      <c r="C1345" s="2" t="s">
        <v>724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>
        <v>79.7</v>
      </c>
    </row>
    <row r="1346" spans="1:16">
      <c r="A1346" s="2" t="s">
        <v>1378</v>
      </c>
      <c r="B1346" s="3">
        <v>45730</v>
      </c>
      <c r="C1346" s="2" t="s">
        <v>724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>
        <v>56.5</v>
      </c>
    </row>
    <row r="1347" spans="1:16">
      <c r="A1347" s="2" t="s">
        <v>1379</v>
      </c>
      <c r="B1347" s="3">
        <v>45768</v>
      </c>
      <c r="C1347" s="2" t="s">
        <v>724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>
        <v>44.7</v>
      </c>
    </row>
    <row r="1348" spans="1:16">
      <c r="A1348" s="2" t="s">
        <v>1380</v>
      </c>
      <c r="B1348" s="3">
        <v>45660</v>
      </c>
      <c r="C1348" s="2" t="s">
        <v>724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>
        <v>66</v>
      </c>
    </row>
    <row r="1349" spans="1:16">
      <c r="A1349" s="2" t="s">
        <v>1381</v>
      </c>
      <c r="B1349" s="3">
        <v>45786</v>
      </c>
      <c r="C1349" s="2" t="s">
        <v>724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>
        <v>73</v>
      </c>
    </row>
    <row r="1350" spans="1:16">
      <c r="A1350" s="2" t="s">
        <v>1382</v>
      </c>
      <c r="B1350" s="3">
        <v>45799</v>
      </c>
      <c r="C1350" s="2" t="s">
        <v>724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>
        <v>72.5</v>
      </c>
    </row>
    <row r="1351" spans="1:16">
      <c r="A1351" s="2" t="s">
        <v>1383</v>
      </c>
      <c r="B1351" s="3">
        <v>45784</v>
      </c>
      <c r="C1351" s="2" t="s">
        <v>724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>
        <v>100</v>
      </c>
    </row>
    <row r="1352" spans="1:16">
      <c r="A1352" s="2" t="s">
        <v>1384</v>
      </c>
      <c r="B1352" s="3">
        <v>45696</v>
      </c>
      <c r="C1352" s="2" t="s">
        <v>724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>
        <v>90.5</v>
      </c>
    </row>
    <row r="1353" spans="1:16">
      <c r="A1353" s="2" t="s">
        <v>1385</v>
      </c>
      <c r="B1353" s="3">
        <v>45750</v>
      </c>
      <c r="C1353" s="2" t="s">
        <v>724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>
        <v>70.2</v>
      </c>
    </row>
    <row r="1354" spans="1:16">
      <c r="A1354" s="2" t="s">
        <v>1386</v>
      </c>
      <c r="B1354" s="3">
        <v>45764</v>
      </c>
      <c r="C1354" s="2" t="s">
        <v>724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>
        <v>67.099999999999994</v>
      </c>
    </row>
    <row r="1355" spans="1:16">
      <c r="A1355" s="2" t="s">
        <v>1387</v>
      </c>
      <c r="B1355" s="3">
        <v>45781</v>
      </c>
      <c r="C1355" s="2" t="s">
        <v>724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>
        <v>54.5</v>
      </c>
    </row>
    <row r="1356" spans="1:16">
      <c r="A1356" s="2" t="s">
        <v>1388</v>
      </c>
      <c r="B1356" s="3">
        <v>45788</v>
      </c>
      <c r="C1356" s="2" t="s">
        <v>724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>
        <v>63.4</v>
      </c>
    </row>
    <row r="1357" spans="1:16">
      <c r="A1357" s="2" t="s">
        <v>1389</v>
      </c>
      <c r="B1357" s="3">
        <v>45717</v>
      </c>
      <c r="C1357" s="2" t="s">
        <v>724</v>
      </c>
      <c r="D1357" s="2" t="s">
        <v>18</v>
      </c>
      <c r="E1357" s="2" t="s">
        <v>19</v>
      </c>
      <c r="F1357" s="2" t="s">
        <v>156</v>
      </c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>
        <v>84.3</v>
      </c>
    </row>
    <row r="1358" spans="1:16">
      <c r="A1358" s="2" t="s">
        <v>1390</v>
      </c>
      <c r="B1358" s="3">
        <v>45708</v>
      </c>
      <c r="C1358" s="2" t="s">
        <v>724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>
        <v>55</v>
      </c>
    </row>
    <row r="1359" spans="1:16">
      <c r="A1359" s="2" t="s">
        <v>1391</v>
      </c>
      <c r="B1359" s="3">
        <v>45786</v>
      </c>
      <c r="C1359" s="2" t="s">
        <v>724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>
        <v>63.6</v>
      </c>
    </row>
    <row r="1360" spans="1:16">
      <c r="A1360" s="2" t="s">
        <v>1392</v>
      </c>
      <c r="B1360" s="3">
        <v>45777</v>
      </c>
      <c r="C1360" s="2" t="s">
        <v>724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>
        <v>55.5</v>
      </c>
    </row>
    <row r="1361" spans="1:16">
      <c r="A1361" s="2" t="s">
        <v>1393</v>
      </c>
      <c r="B1361" s="3">
        <v>45664</v>
      </c>
      <c r="C1361" s="2" t="s">
        <v>724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>
        <v>50.5</v>
      </c>
    </row>
    <row r="1362" spans="1:16">
      <c r="A1362" s="2" t="s">
        <v>1394</v>
      </c>
      <c r="B1362" s="3">
        <v>45777</v>
      </c>
      <c r="C1362" s="2" t="s">
        <v>724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>
        <v>45.3</v>
      </c>
    </row>
    <row r="1363" spans="1:16">
      <c r="A1363" s="2" t="s">
        <v>1395</v>
      </c>
      <c r="B1363" s="3">
        <v>45800</v>
      </c>
      <c r="C1363" s="2" t="s">
        <v>724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>
        <v>33.6</v>
      </c>
    </row>
    <row r="1364" spans="1:16">
      <c r="A1364" s="2" t="s">
        <v>1396</v>
      </c>
      <c r="B1364" s="3">
        <v>45728</v>
      </c>
      <c r="C1364" s="2" t="s">
        <v>724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>
        <v>88.2</v>
      </c>
    </row>
    <row r="1365" spans="1:16">
      <c r="A1365" s="2" t="s">
        <v>1397</v>
      </c>
      <c r="B1365" s="3">
        <v>45705</v>
      </c>
      <c r="C1365" s="2" t="s">
        <v>724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>
        <v>51.8</v>
      </c>
    </row>
    <row r="1366" spans="1:16">
      <c r="A1366" s="2" t="s">
        <v>1398</v>
      </c>
      <c r="B1366" s="3">
        <v>45804</v>
      </c>
      <c r="C1366" s="2" t="s">
        <v>724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>
        <v>87.9</v>
      </c>
    </row>
    <row r="1367" spans="1:16">
      <c r="A1367" s="2" t="s">
        <v>1399</v>
      </c>
      <c r="B1367" s="3">
        <v>45787</v>
      </c>
      <c r="C1367" s="2" t="s">
        <v>724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>
        <v>70.5</v>
      </c>
    </row>
    <row r="1368" spans="1:16">
      <c r="A1368" s="2" t="s">
        <v>1400</v>
      </c>
      <c r="B1368" s="3">
        <v>45677</v>
      </c>
      <c r="C1368" s="2" t="s">
        <v>724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>
        <v>58.5</v>
      </c>
    </row>
    <row r="1369" spans="1:16">
      <c r="A1369" s="2" t="s">
        <v>1401</v>
      </c>
      <c r="B1369" s="3">
        <v>45676</v>
      </c>
      <c r="C1369" s="2" t="s">
        <v>724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>
        <v>65.599999999999994</v>
      </c>
    </row>
    <row r="1370" spans="1:16">
      <c r="A1370" s="2" t="s">
        <v>1402</v>
      </c>
      <c r="B1370" s="3">
        <v>45723</v>
      </c>
      <c r="C1370" s="2" t="s">
        <v>724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>
        <v>62.7</v>
      </c>
    </row>
    <row r="1371" spans="1:16">
      <c r="A1371" s="2" t="s">
        <v>1403</v>
      </c>
      <c r="B1371" s="3">
        <v>45690</v>
      </c>
      <c r="C1371" s="2" t="s">
        <v>724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>
        <v>50.9</v>
      </c>
    </row>
    <row r="1372" spans="1:16">
      <c r="A1372" s="2" t="s">
        <v>1404</v>
      </c>
      <c r="B1372" s="3">
        <v>45723</v>
      </c>
      <c r="C1372" s="2" t="s">
        <v>724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>
        <v>60.6</v>
      </c>
    </row>
    <row r="1373" spans="1:16">
      <c r="A1373" s="2" t="s">
        <v>1405</v>
      </c>
      <c r="B1373" s="3">
        <v>45746</v>
      </c>
      <c r="C1373" s="2" t="s">
        <v>724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>
        <v>76.599999999999994</v>
      </c>
    </row>
    <row r="1374" spans="1:16">
      <c r="A1374" s="2" t="s">
        <v>1406</v>
      </c>
      <c r="B1374" s="3">
        <v>45782</v>
      </c>
      <c r="C1374" s="2" t="s">
        <v>724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>
        <v>54.4</v>
      </c>
    </row>
    <row r="1375" spans="1:16">
      <c r="A1375" s="2" t="s">
        <v>1407</v>
      </c>
      <c r="B1375" s="3">
        <v>45758</v>
      </c>
      <c r="C1375" s="2" t="s">
        <v>724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>
        <v>31.2</v>
      </c>
    </row>
    <row r="1376" spans="1:16">
      <c r="A1376" s="2" t="s">
        <v>1408</v>
      </c>
      <c r="B1376" s="3">
        <v>45741</v>
      </c>
      <c r="C1376" s="2" t="s">
        <v>724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>
        <v>72.400000000000006</v>
      </c>
    </row>
    <row r="1377" spans="1:16">
      <c r="A1377" s="2" t="s">
        <v>1409</v>
      </c>
      <c r="B1377" s="3">
        <v>45740</v>
      </c>
      <c r="C1377" s="2" t="s">
        <v>724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>
        <v>74.5</v>
      </c>
    </row>
    <row r="1378" spans="1:16">
      <c r="A1378" s="2" t="s">
        <v>1410</v>
      </c>
      <c r="B1378" s="3">
        <v>45774</v>
      </c>
      <c r="C1378" s="2" t="s">
        <v>724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>
        <v>52.6</v>
      </c>
    </row>
    <row r="1379" spans="1:16">
      <c r="A1379" s="2" t="s">
        <v>1411</v>
      </c>
      <c r="B1379" s="3">
        <v>45682</v>
      </c>
      <c r="C1379" s="2" t="s">
        <v>724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>
        <v>75.400000000000006</v>
      </c>
    </row>
    <row r="1380" spans="1:16">
      <c r="A1380" s="2" t="s">
        <v>1412</v>
      </c>
      <c r="B1380" s="3">
        <v>45705</v>
      </c>
      <c r="C1380" s="2" t="s">
        <v>724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>
        <v>34</v>
      </c>
    </row>
    <row r="1381" spans="1:16">
      <c r="A1381" s="2" t="s">
        <v>1413</v>
      </c>
      <c r="B1381" s="3">
        <v>45760</v>
      </c>
      <c r="C1381" s="2" t="s">
        <v>724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>
        <v>67.099999999999994</v>
      </c>
    </row>
    <row r="1382" spans="1:16">
      <c r="A1382" s="2" t="s">
        <v>1414</v>
      </c>
      <c r="B1382" s="3">
        <v>45780</v>
      </c>
      <c r="C1382" s="2" t="s">
        <v>724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>
        <v>37.299999999999997</v>
      </c>
    </row>
    <row r="1383" spans="1:16">
      <c r="A1383" s="2" t="s">
        <v>1415</v>
      </c>
      <c r="B1383" s="3">
        <v>45776</v>
      </c>
      <c r="C1383" s="2" t="s">
        <v>724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>
        <v>54.7</v>
      </c>
    </row>
    <row r="1384" spans="1:16">
      <c r="A1384" s="2" t="s">
        <v>1416</v>
      </c>
      <c r="B1384" s="3">
        <v>45780</v>
      </c>
      <c r="C1384" s="2" t="s">
        <v>724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>
        <v>51.8</v>
      </c>
    </row>
    <row r="1385" spans="1:16">
      <c r="A1385" s="2" t="s">
        <v>1417</v>
      </c>
      <c r="B1385" s="3">
        <v>45775</v>
      </c>
      <c r="C1385" s="2" t="s">
        <v>724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>
        <v>49.2</v>
      </c>
    </row>
    <row r="1386" spans="1:16">
      <c r="A1386" s="2" t="s">
        <v>1418</v>
      </c>
      <c r="B1386" s="3">
        <v>45678</v>
      </c>
      <c r="C1386" s="2" t="s">
        <v>724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>
        <v>58.8</v>
      </c>
    </row>
    <row r="1387" spans="1:16">
      <c r="A1387" s="2" t="s">
        <v>1419</v>
      </c>
      <c r="B1387" s="3">
        <v>45678</v>
      </c>
      <c r="C1387" s="2" t="s">
        <v>724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>
        <v>59.1</v>
      </c>
    </row>
    <row r="1388" spans="1:16">
      <c r="A1388" s="2" t="s">
        <v>1420</v>
      </c>
      <c r="B1388" s="3">
        <v>45798</v>
      </c>
      <c r="C1388" s="2" t="s">
        <v>724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>
        <v>49.6</v>
      </c>
    </row>
    <row r="1389" spans="1:16">
      <c r="A1389" s="2" t="s">
        <v>1421</v>
      </c>
      <c r="B1389" s="3">
        <v>45662</v>
      </c>
      <c r="C1389" s="2" t="s">
        <v>724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>
        <v>58.2</v>
      </c>
    </row>
    <row r="1390" spans="1:16">
      <c r="A1390" s="2" t="s">
        <v>1422</v>
      </c>
      <c r="B1390" s="3">
        <v>45722</v>
      </c>
      <c r="C1390" s="2" t="s">
        <v>724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>
        <v>66.8</v>
      </c>
    </row>
    <row r="1391" spans="1:16">
      <c r="A1391" s="2" t="s">
        <v>1423</v>
      </c>
      <c r="B1391" s="3">
        <v>45765</v>
      </c>
      <c r="C1391" s="2" t="s">
        <v>724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>
        <v>58.3</v>
      </c>
    </row>
    <row r="1392" spans="1:16">
      <c r="A1392" s="2" t="s">
        <v>1424</v>
      </c>
      <c r="B1392" s="3">
        <v>45762</v>
      </c>
      <c r="C1392" s="2" t="s">
        <v>724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>
        <v>38.5</v>
      </c>
    </row>
    <row r="1393" spans="1:16">
      <c r="A1393" s="2" t="s">
        <v>1425</v>
      </c>
      <c r="B1393" s="3">
        <v>45698</v>
      </c>
      <c r="C1393" s="2" t="s">
        <v>724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>
        <v>76.900000000000006</v>
      </c>
    </row>
    <row r="1394" spans="1:16">
      <c r="A1394" s="2" t="s">
        <v>1426</v>
      </c>
      <c r="B1394" s="3">
        <v>45785</v>
      </c>
      <c r="C1394" s="2" t="s">
        <v>724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>
        <v>54</v>
      </c>
    </row>
    <row r="1395" spans="1:16">
      <c r="A1395" s="2" t="s">
        <v>1427</v>
      </c>
      <c r="B1395" s="3">
        <v>45805</v>
      </c>
      <c r="C1395" s="2" t="s">
        <v>724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>
        <v>70.599999999999994</v>
      </c>
    </row>
    <row r="1396" spans="1:16">
      <c r="A1396" s="2" t="s">
        <v>1428</v>
      </c>
      <c r="B1396" s="3">
        <v>45772</v>
      </c>
      <c r="C1396" s="2" t="s">
        <v>724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>
        <v>69.400000000000006</v>
      </c>
    </row>
    <row r="1397" spans="1:16">
      <c r="A1397" s="2" t="s">
        <v>1429</v>
      </c>
      <c r="B1397" s="3">
        <v>45699</v>
      </c>
      <c r="C1397" s="2" t="s">
        <v>724</v>
      </c>
      <c r="D1397" s="2" t="s">
        <v>32</v>
      </c>
      <c r="E1397" s="2" t="s">
        <v>24</v>
      </c>
      <c r="F1397" s="2" t="s">
        <v>156</v>
      </c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>
        <v>89.7</v>
      </c>
    </row>
    <row r="1398" spans="1:16">
      <c r="A1398" s="2" t="s">
        <v>1430</v>
      </c>
      <c r="B1398" s="3">
        <v>45761</v>
      </c>
      <c r="C1398" s="2" t="s">
        <v>724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>
        <v>62.4</v>
      </c>
    </row>
    <row r="1399" spans="1:16">
      <c r="A1399" s="2" t="s">
        <v>1431</v>
      </c>
      <c r="B1399" s="3">
        <v>45692</v>
      </c>
      <c r="C1399" s="2" t="s">
        <v>724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>
        <v>67.3</v>
      </c>
    </row>
    <row r="1400" spans="1:16">
      <c r="A1400" s="2" t="s">
        <v>1432</v>
      </c>
      <c r="B1400" s="3">
        <v>45738</v>
      </c>
      <c r="C1400" s="2" t="s">
        <v>724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>
        <v>54.9</v>
      </c>
    </row>
    <row r="1401" spans="1:16">
      <c r="A1401" s="2" t="s">
        <v>1433</v>
      </c>
      <c r="B1401" s="3">
        <v>45765</v>
      </c>
      <c r="C1401" s="2" t="s">
        <v>724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>
        <v>55.7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E14" sqref="E14"/>
    </sheetView>
  </sheetViews>
  <sheetFormatPr defaultRowHeight="15"/>
  <cols>
    <col min="1" max="1" width="21" customWidth="1"/>
    <col min="2" max="2" width="20" customWidth="1"/>
  </cols>
  <sheetData>
    <row r="1" spans="1:3">
      <c r="A1" s="16" t="s">
        <v>1483</v>
      </c>
      <c r="B1" s="16"/>
      <c r="C1" s="16"/>
    </row>
    <row r="2" spans="1:3">
      <c r="A2" s="17" t="s">
        <v>1469</v>
      </c>
      <c r="B2" s="17" t="s">
        <v>1470</v>
      </c>
    </row>
    <row r="3" spans="1:3" ht="30">
      <c r="A3" s="18" t="s">
        <v>1471</v>
      </c>
      <c r="B3" s="19" t="s">
        <v>1480</v>
      </c>
    </row>
    <row r="4" spans="1:3" ht="30">
      <c r="A4" s="18" t="s">
        <v>1472</v>
      </c>
      <c r="B4" s="19" t="s">
        <v>1481</v>
      </c>
    </row>
    <row r="6" spans="1:3">
      <c r="A6" t="s">
        <v>1473</v>
      </c>
      <c r="B6" t="s">
        <v>1474</v>
      </c>
      <c r="C6">
        <v>5.1428571428571428E-2</v>
      </c>
    </row>
    <row r="8" spans="1:3">
      <c r="A8" t="s">
        <v>1475</v>
      </c>
      <c r="B8" t="s">
        <v>1482</v>
      </c>
      <c r="C8">
        <v>1.1807217085124241E-2</v>
      </c>
    </row>
    <row r="10" spans="1:3">
      <c r="A10" t="s">
        <v>1476</v>
      </c>
      <c r="B10" t="s">
        <v>1477</v>
      </c>
      <c r="C10">
        <v>3.2607175528690546</v>
      </c>
    </row>
    <row r="12" spans="1:3">
      <c r="A12" t="s">
        <v>1478</v>
      </c>
      <c r="B12" t="s">
        <v>1479</v>
      </c>
      <c r="C12">
        <v>5.5565339512175793E-4</v>
      </c>
    </row>
    <row r="14" spans="1:3">
      <c r="A14" t="s">
        <v>1484</v>
      </c>
      <c r="B14" t="s">
        <v>1485</v>
      </c>
    </row>
    <row r="16" spans="1:3">
      <c r="A16" t="s">
        <v>1486</v>
      </c>
      <c r="B16" t="s">
        <v>1487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 summary</vt:lpstr>
      <vt:lpstr>pivot table for summary</vt:lpstr>
      <vt:lpstr>reference data</vt:lpstr>
      <vt:lpstr>hypothesis_test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2026-06-26T05:17:41Z</dcterms:created>
  <dcterms:modified xsi:type="dcterms:W3CDTF">2026-06-28T10:06:17Z</dcterms:modified>
</cp:coreProperties>
</file>